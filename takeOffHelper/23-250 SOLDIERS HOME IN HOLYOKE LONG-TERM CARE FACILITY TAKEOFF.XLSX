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W:\Pipeline Share\Pipeline Projects\23-250 SOLDIERS HOME IN HOLYOKE LONG-TERM CARE FACILITY\ALEX REQUEST [09-22-2023]\"/>
    </mc:Choice>
  </mc:AlternateContent>
  <xr:revisionPtr revIDLastSave="0" documentId="13_ncr:1_{3B0B383F-39D0-4700-9FDB-6D677AC38914}" xr6:coauthVersionLast="47" xr6:coauthVersionMax="47" xr10:uidLastSave="{00000000-0000-0000-0000-000000000000}"/>
  <bookViews>
    <workbookView xWindow="38400" yWindow="0" windowWidth="19200" windowHeight="21600" xr2:uid="{00000000-000D-0000-FFFF-FFFF00000000}"/>
  </bookViews>
  <sheets>
    <sheet name="Takeoff" sheetId="1" r:id="rId1"/>
    <sheet name="Change Log" sheetId="2" r:id="rId2"/>
    <sheet name="Drawing Index" sheetId="4" r:id="rId3"/>
    <sheet name="Sheet3" sheetId="3" r:id="rId4"/>
  </sheets>
  <definedNames>
    <definedName name="_xlnm.Print_Area" localSheetId="0">Takeoff!$A:$J</definedName>
    <definedName name="_xlnm.Print_Titles" localSheetId="0">Takeoff!$1:$2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57" i="1" l="1"/>
  <c r="B256" i="1"/>
  <c r="B255" i="1"/>
  <c r="B254" i="1"/>
  <c r="B253" i="1"/>
  <c r="B252" i="1"/>
  <c r="B251" i="1"/>
  <c r="B250" i="1"/>
  <c r="B249" i="1"/>
  <c r="AM130" i="1"/>
  <c r="O130" i="1"/>
  <c r="P130" i="1"/>
  <c r="Q130" i="1"/>
  <c r="R130" i="1"/>
  <c r="S130" i="1"/>
  <c r="T130" i="1"/>
  <c r="U130" i="1"/>
  <c r="V130" i="1"/>
  <c r="W130" i="1"/>
  <c r="X130" i="1"/>
  <c r="Y130" i="1"/>
  <c r="Z130" i="1"/>
  <c r="AA130" i="1"/>
  <c r="AB130" i="1"/>
  <c r="AC130" i="1"/>
  <c r="AD130" i="1"/>
  <c r="AE130" i="1"/>
  <c r="AF130" i="1"/>
  <c r="AG130" i="1"/>
  <c r="AH130" i="1"/>
  <c r="AI130" i="1"/>
  <c r="AJ130" i="1"/>
  <c r="AK130" i="1"/>
  <c r="AL130" i="1"/>
  <c r="AN130" i="1"/>
  <c r="AO130" i="1"/>
  <c r="AP130" i="1"/>
  <c r="AQ130" i="1"/>
  <c r="AR130" i="1"/>
  <c r="AS130" i="1"/>
  <c r="AT130" i="1"/>
  <c r="AU130" i="1"/>
  <c r="AV130" i="1"/>
  <c r="AW130" i="1"/>
  <c r="AX130" i="1"/>
  <c r="AY130" i="1"/>
  <c r="AZ130" i="1"/>
  <c r="BA130" i="1"/>
  <c r="BB130" i="1"/>
  <c r="BC130" i="1"/>
  <c r="BD130" i="1"/>
  <c r="BE130" i="1"/>
  <c r="BF130" i="1"/>
  <c r="BG130" i="1"/>
  <c r="BH130" i="1"/>
  <c r="BI130" i="1"/>
  <c r="BJ130" i="1"/>
  <c r="BK130" i="1"/>
  <c r="BL130" i="1"/>
  <c r="BM130" i="1"/>
  <c r="BN130" i="1"/>
  <c r="N130" i="1"/>
  <c r="BN230" i="1"/>
  <c r="B230" i="1" s="1"/>
  <c r="BN231" i="1"/>
  <c r="B231" i="1" s="1"/>
  <c r="B241" i="1" s="1"/>
  <c r="B242" i="1" s="1"/>
  <c r="BN229" i="1"/>
  <c r="B229" i="1" s="1"/>
  <c r="N1" i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AV1" i="1" s="1"/>
  <c r="AW1" i="1" s="1"/>
  <c r="AX1" i="1" s="1"/>
  <c r="AY1" i="1" s="1"/>
  <c r="AZ1" i="1" s="1"/>
  <c r="BA1" i="1" s="1"/>
  <c r="BB1" i="1" s="1"/>
  <c r="BC1" i="1" s="1"/>
  <c r="BD1" i="1" s="1"/>
  <c r="BE1" i="1" s="1"/>
  <c r="BF1" i="1" s="1"/>
  <c r="BG1" i="1" s="1"/>
  <c r="BH1" i="1" s="1"/>
  <c r="BI1" i="1" s="1"/>
  <c r="BJ1" i="1" s="1"/>
  <c r="BK1" i="1" s="1"/>
  <c r="BL1" i="1" s="1"/>
  <c r="BM1" i="1" s="1"/>
  <c r="BN1" i="1" s="1"/>
  <c r="B236" i="1"/>
  <c r="B235" i="1"/>
  <c r="B234" i="1"/>
  <c r="B233" i="1"/>
  <c r="B232" i="1"/>
  <c r="B78" i="1"/>
  <c r="B93" i="1"/>
  <c r="B94" i="1"/>
  <c r="B174" i="1"/>
  <c r="B176" i="1"/>
  <c r="B177" i="1"/>
  <c r="B178" i="1"/>
  <c r="B179" i="1"/>
  <c r="B180" i="1"/>
  <c r="B181" i="1"/>
  <c r="B175" i="1"/>
  <c r="B113" i="1"/>
  <c r="B114" i="1"/>
  <c r="B115" i="1"/>
  <c r="B116" i="1"/>
  <c r="B117" i="1"/>
  <c r="B118" i="1"/>
  <c r="B119" i="1"/>
  <c r="B120" i="1"/>
  <c r="B112" i="1"/>
  <c r="B376" i="1"/>
  <c r="M376" i="1" s="1"/>
  <c r="B398" i="1"/>
  <c r="L398" i="1" s="1"/>
  <c r="B420" i="1"/>
  <c r="M420" i="1" s="1"/>
  <c r="B95" i="1"/>
  <c r="B96" i="1"/>
  <c r="B97" i="1"/>
  <c r="B98" i="1"/>
  <c r="B425" i="1"/>
  <c r="M425" i="1" s="1"/>
  <c r="B424" i="1"/>
  <c r="M424" i="1" s="1"/>
  <c r="B423" i="1"/>
  <c r="K423" i="1" s="1"/>
  <c r="B422" i="1"/>
  <c r="M422" i="1" s="1"/>
  <c r="B421" i="1"/>
  <c r="K421" i="1" s="1"/>
  <c r="B403" i="1"/>
  <c r="L403" i="1" s="1"/>
  <c r="B402" i="1"/>
  <c r="L402" i="1" s="1"/>
  <c r="B401" i="1"/>
  <c r="L401" i="1" s="1"/>
  <c r="B400" i="1"/>
  <c r="L400" i="1" s="1"/>
  <c r="B399" i="1"/>
  <c r="L399" i="1" s="1"/>
  <c r="B381" i="1"/>
  <c r="M381" i="1" s="1"/>
  <c r="B380" i="1"/>
  <c r="M380" i="1" s="1"/>
  <c r="B379" i="1"/>
  <c r="L379" i="1" s="1"/>
  <c r="B378" i="1"/>
  <c r="M378" i="1" s="1"/>
  <c r="B377" i="1"/>
  <c r="K377" i="1" s="1"/>
  <c r="B359" i="1"/>
  <c r="M359" i="1" s="1"/>
  <c r="B358" i="1"/>
  <c r="M358" i="1" s="1"/>
  <c r="B357" i="1"/>
  <c r="M357" i="1" s="1"/>
  <c r="B356" i="1"/>
  <c r="M356" i="1" s="1"/>
  <c r="B355" i="1"/>
  <c r="M355" i="1" s="1"/>
  <c r="B354" i="1"/>
  <c r="M354" i="1" s="1"/>
  <c r="B337" i="1"/>
  <c r="M337" i="1" s="1"/>
  <c r="B336" i="1"/>
  <c r="L336" i="1" s="1"/>
  <c r="B335" i="1"/>
  <c r="M335" i="1" s="1"/>
  <c r="B334" i="1"/>
  <c r="L334" i="1" s="1"/>
  <c r="B333" i="1"/>
  <c r="M333" i="1" s="1"/>
  <c r="B332" i="1"/>
  <c r="L332" i="1" s="1"/>
  <c r="B315" i="1"/>
  <c r="M315" i="1" s="1"/>
  <c r="B314" i="1"/>
  <c r="M314" i="1" s="1"/>
  <c r="B313" i="1"/>
  <c r="L313" i="1" s="1"/>
  <c r="B312" i="1"/>
  <c r="M312" i="1" s="1"/>
  <c r="B311" i="1"/>
  <c r="M311" i="1" s="1"/>
  <c r="B310" i="1"/>
  <c r="M310" i="1" s="1"/>
  <c r="B293" i="1"/>
  <c r="M293" i="1" s="1"/>
  <c r="B292" i="1"/>
  <c r="L292" i="1" s="1"/>
  <c r="B291" i="1"/>
  <c r="M291" i="1" s="1"/>
  <c r="B290" i="1"/>
  <c r="L290" i="1" s="1"/>
  <c r="B289" i="1"/>
  <c r="M289" i="1" s="1"/>
  <c r="B288" i="1"/>
  <c r="L288" i="1" s="1"/>
  <c r="B270" i="1"/>
  <c r="L270" i="1" s="1"/>
  <c r="B269" i="1"/>
  <c r="L269" i="1" s="1"/>
  <c r="B268" i="1"/>
  <c r="K268" i="1" s="1"/>
  <c r="B267" i="1"/>
  <c r="L267" i="1" s="1"/>
  <c r="B266" i="1"/>
  <c r="M266" i="1" s="1"/>
  <c r="B265" i="1"/>
  <c r="L265" i="1" s="1"/>
  <c r="B210" i="1"/>
  <c r="B216" i="1"/>
  <c r="B215" i="1"/>
  <c r="B214" i="1"/>
  <c r="B213" i="1"/>
  <c r="B212" i="1"/>
  <c r="B211" i="1"/>
  <c r="B221" i="1" s="1"/>
  <c r="B222" i="1" s="1"/>
  <c r="B209" i="1"/>
  <c r="B200" i="1"/>
  <c r="B199" i="1"/>
  <c r="B198" i="1"/>
  <c r="B197" i="1"/>
  <c r="B196" i="1"/>
  <c r="B258" i="1" l="1"/>
  <c r="K359" i="1"/>
  <c r="L359" i="1"/>
  <c r="M336" i="1"/>
  <c r="L377" i="1"/>
  <c r="M265" i="1"/>
  <c r="K379" i="1"/>
  <c r="L357" i="1"/>
  <c r="M290" i="1"/>
  <c r="M379" i="1"/>
  <c r="M292" i="1"/>
  <c r="K357" i="1"/>
  <c r="K355" i="1"/>
  <c r="L355" i="1"/>
  <c r="B366" i="1"/>
  <c r="M334" i="1"/>
  <c r="M377" i="1"/>
  <c r="B388" i="1" s="1"/>
  <c r="B237" i="1"/>
  <c r="K378" i="1"/>
  <c r="L380" i="1"/>
  <c r="M400" i="1"/>
  <c r="M399" i="1"/>
  <c r="L378" i="1"/>
  <c r="K381" i="1"/>
  <c r="M401" i="1"/>
  <c r="M403" i="1"/>
  <c r="L381" i="1"/>
  <c r="K380" i="1"/>
  <c r="M402" i="1"/>
  <c r="M398" i="1"/>
  <c r="K376" i="1"/>
  <c r="L376" i="1"/>
  <c r="M332" i="1"/>
  <c r="K425" i="1"/>
  <c r="L421" i="1"/>
  <c r="L423" i="1"/>
  <c r="L425" i="1"/>
  <c r="M421" i="1"/>
  <c r="M423" i="1"/>
  <c r="B426" i="1"/>
  <c r="L420" i="1"/>
  <c r="L422" i="1"/>
  <c r="L424" i="1"/>
  <c r="K420" i="1"/>
  <c r="K422" i="1"/>
  <c r="K424" i="1"/>
  <c r="B409" i="1"/>
  <c r="K399" i="1"/>
  <c r="K401" i="1"/>
  <c r="K403" i="1"/>
  <c r="B404" i="1"/>
  <c r="K398" i="1"/>
  <c r="K400" i="1"/>
  <c r="K402" i="1"/>
  <c r="B382" i="1"/>
  <c r="B360" i="1"/>
  <c r="K354" i="1"/>
  <c r="K356" i="1"/>
  <c r="K358" i="1"/>
  <c r="L354" i="1"/>
  <c r="L356" i="1"/>
  <c r="L358" i="1"/>
  <c r="K333" i="1"/>
  <c r="K337" i="1"/>
  <c r="L333" i="1"/>
  <c r="L335" i="1"/>
  <c r="L337" i="1"/>
  <c r="K335" i="1"/>
  <c r="B338" i="1"/>
  <c r="K332" i="1"/>
  <c r="K334" i="1"/>
  <c r="K336" i="1"/>
  <c r="L315" i="1"/>
  <c r="B316" i="1"/>
  <c r="K311" i="1"/>
  <c r="K315" i="1"/>
  <c r="L311" i="1"/>
  <c r="M313" i="1"/>
  <c r="B322" i="1" s="1"/>
  <c r="K310" i="1"/>
  <c r="K314" i="1"/>
  <c r="L312" i="1"/>
  <c r="L314" i="1"/>
  <c r="K313" i="1"/>
  <c r="K312" i="1"/>
  <c r="L310" i="1"/>
  <c r="M288" i="1"/>
  <c r="K289" i="1"/>
  <c r="K291" i="1"/>
  <c r="K293" i="1"/>
  <c r="L289" i="1"/>
  <c r="L291" i="1"/>
  <c r="L293" i="1"/>
  <c r="B294" i="1"/>
  <c r="K288" i="1"/>
  <c r="K290" i="1"/>
  <c r="K292" i="1"/>
  <c r="M267" i="1"/>
  <c r="M269" i="1"/>
  <c r="L266" i="1"/>
  <c r="K266" i="1"/>
  <c r="K270" i="1"/>
  <c r="L268" i="1"/>
  <c r="M268" i="1"/>
  <c r="M270" i="1"/>
  <c r="B271" i="1"/>
  <c r="K265" i="1"/>
  <c r="K267" i="1"/>
  <c r="K269" i="1"/>
  <c r="B217" i="1"/>
  <c r="B201" i="1"/>
  <c r="B87" i="1"/>
  <c r="B344" i="1" l="1"/>
  <c r="B432" i="1"/>
  <c r="B299" i="1"/>
  <c r="B320" i="1"/>
  <c r="B323" i="1" s="1"/>
  <c r="B342" i="1"/>
  <c r="B343" i="1"/>
  <c r="B276" i="1"/>
  <c r="B277" i="1"/>
  <c r="B300" i="1"/>
  <c r="B321" i="1"/>
  <c r="B298" i="1"/>
  <c r="B301" i="1" s="1"/>
  <c r="B387" i="1"/>
  <c r="B386" i="1"/>
  <c r="B389" i="1" s="1"/>
  <c r="B410" i="1"/>
  <c r="B431" i="1"/>
  <c r="B430" i="1"/>
  <c r="B408" i="1"/>
  <c r="B411" i="1" s="1"/>
  <c r="B365" i="1"/>
  <c r="B364" i="1"/>
  <c r="B345" i="1"/>
  <c r="B275" i="1"/>
  <c r="L94" i="1"/>
  <c r="L95" i="1"/>
  <c r="L96" i="1"/>
  <c r="L97" i="1"/>
  <c r="L98" i="1"/>
  <c r="B278" i="1" l="1"/>
  <c r="B433" i="1"/>
  <c r="B367" i="1"/>
  <c r="L93" i="1"/>
  <c r="B104" i="1" s="1"/>
  <c r="K93" i="1"/>
  <c r="K96" i="1"/>
  <c r="K94" i="1"/>
  <c r="K95" i="1"/>
  <c r="K98" i="1"/>
  <c r="B99" i="1"/>
  <c r="K97" i="1"/>
  <c r="M98" i="1"/>
  <c r="M96" i="1"/>
  <c r="M94" i="1"/>
  <c r="M97" i="1"/>
  <c r="M95" i="1"/>
  <c r="M93" i="1"/>
  <c r="B80" i="1"/>
  <c r="B79" i="1"/>
  <c r="B81" i="1"/>
  <c r="B103" i="1" l="1"/>
  <c r="B105" i="1"/>
  <c r="B128" i="1"/>
  <c r="B127" i="1"/>
  <c r="B126" i="1"/>
  <c r="B125" i="1"/>
  <c r="B159" i="1"/>
  <c r="B187" i="1"/>
  <c r="B188" i="1" s="1"/>
  <c r="B167" i="1"/>
  <c r="B168" i="1" s="1"/>
  <c r="B161" i="1"/>
  <c r="B160" i="1"/>
  <c r="B158" i="1"/>
  <c r="B153" i="1"/>
  <c r="B154" i="1" s="1"/>
  <c r="B148" i="1"/>
  <c r="B147" i="1"/>
  <c r="B141" i="1"/>
  <c r="B140" i="1"/>
  <c r="B139" i="1"/>
  <c r="B138" i="1"/>
  <c r="B137" i="1"/>
  <c r="B136" i="1"/>
  <c r="B135" i="1"/>
  <c r="B134" i="1"/>
  <c r="B133" i="1"/>
  <c r="B56" i="1"/>
  <c r="B68" i="1" s="1"/>
  <c r="B55" i="1"/>
  <c r="B67" i="1" s="1"/>
  <c r="B54" i="1"/>
  <c r="B66" i="1" s="1"/>
  <c r="B53" i="1"/>
  <c r="B65" i="1" s="1"/>
  <c r="B52" i="1"/>
  <c r="B64" i="1" s="1"/>
  <c r="B51" i="1"/>
  <c r="B63" i="1" s="1"/>
  <c r="B50" i="1"/>
  <c r="B62" i="1" s="1"/>
  <c r="B49" i="1"/>
  <c r="B61" i="1" s="1"/>
  <c r="B39" i="1"/>
  <c r="B38" i="1"/>
  <c r="B37" i="1"/>
  <c r="B36" i="1"/>
  <c r="B35" i="1"/>
  <c r="B34" i="1"/>
  <c r="B44" i="1" s="1"/>
  <c r="B45" i="1" s="1"/>
  <c r="B33" i="1"/>
  <c r="B32" i="1"/>
  <c r="B149" i="1" l="1"/>
  <c r="B129" i="1"/>
  <c r="B162" i="1"/>
  <c r="B182" i="1"/>
  <c r="B57" i="1"/>
  <c r="B69" i="1"/>
  <c r="B73" i="1" s="1"/>
  <c r="B74" i="1" s="1"/>
  <c r="B40" i="1"/>
  <c r="B142" i="1"/>
  <c r="B17" i="1" l="1"/>
  <c r="B16" i="1"/>
  <c r="B22" i="1" l="1"/>
  <c r="B21" i="1"/>
  <c r="B20" i="1"/>
  <c r="B19" i="1"/>
  <c r="B18" i="1"/>
  <c r="B15" i="1"/>
  <c r="B88" i="1"/>
  <c r="B89" i="1" s="1"/>
  <c r="B82" i="1"/>
  <c r="B83" i="1" s="1"/>
  <c r="B27" i="1" l="1"/>
  <c r="B28" i="1" l="1"/>
  <c r="B121" i="1" l="1"/>
  <c r="B23" i="1"/>
  <c r="B106" i="1"/>
</calcChain>
</file>

<file path=xl/sharedStrings.xml><?xml version="1.0" encoding="utf-8"?>
<sst xmlns="http://schemas.openxmlformats.org/spreadsheetml/2006/main" count="641" uniqueCount="183">
  <si>
    <t>OXY</t>
  </si>
  <si>
    <t>AIR</t>
  </si>
  <si>
    <t>VAC</t>
  </si>
  <si>
    <t>N2O</t>
  </si>
  <si>
    <t>WAG</t>
  </si>
  <si>
    <t>CO2</t>
  </si>
  <si>
    <t>N20</t>
  </si>
  <si>
    <t xml:space="preserve"> </t>
  </si>
  <si>
    <t>QTY</t>
  </si>
  <si>
    <t>GAS</t>
  </si>
  <si>
    <t>SIZE</t>
  </si>
  <si>
    <t>DESCRIPTION</t>
  </si>
  <si>
    <t xml:space="preserve">Model </t>
  </si>
  <si>
    <t>TOTAL</t>
  </si>
  <si>
    <t>MEDICAL GAS PIPELINE TAKE-OFF</t>
  </si>
  <si>
    <t>1/2"</t>
  </si>
  <si>
    <t>4"</t>
  </si>
  <si>
    <t>3"</t>
  </si>
  <si>
    <t>2-1/2"</t>
  </si>
  <si>
    <t>2"</t>
  </si>
  <si>
    <t>1-1/2"</t>
  </si>
  <si>
    <t>1-1/4"</t>
  </si>
  <si>
    <t>1"</t>
  </si>
  <si>
    <t>3/4"</t>
  </si>
  <si>
    <t xml:space="preserve">PROJECT: </t>
  </si>
  <si>
    <t xml:space="preserve">LOCATION: </t>
  </si>
  <si>
    <t>SLIDE</t>
  </si>
  <si>
    <t>MANIFOLD w/ ACCESSORIES***</t>
  </si>
  <si>
    <t>***INCLUDES: GAUGES, HEADBAR BRACKETS AND MANIFOLD WALL/STAND BRACKETS</t>
  </si>
  <si>
    <t xml:space="preserve">BID DATE: </t>
  </si>
  <si>
    <t>NIT</t>
  </si>
  <si>
    <t>BALL VALVE - FULL PORT, LOCKING HANDLE &amp; 2 GAUGE PORTS</t>
  </si>
  <si>
    <t>LIQUID MANIFOLD w/ RESERVE MANIFOLD (SIMPLEX) AND ACCESSORIES***</t>
  </si>
  <si>
    <t>MAIN</t>
  </si>
  <si>
    <t>RESERVE</t>
  </si>
  <si>
    <t>TYPE</t>
  </si>
  <si>
    <t>0-100 psi</t>
  </si>
  <si>
    <t>0-300 psi</t>
  </si>
  <si>
    <t>Vacuum</t>
  </si>
  <si>
    <t>INA</t>
  </si>
  <si>
    <t>GASES</t>
  </si>
  <si>
    <t>OXY, AIR, N2O, CO2</t>
  </si>
  <si>
    <t>NIT, INA</t>
  </si>
  <si>
    <t>VAC, WAG</t>
  </si>
  <si>
    <t>***INCLUDES: PRESSURE SWITCHES, ISOLATION VALVE, RELIEF VALVE, GAUGES, HEADER BAR BRACKETS AND MANIFOLD WALL/STAND BRACKETS</t>
  </si>
  <si>
    <t>***QTY DOES NOT TAKE INTO CONSIDERATION THOSE INCLUDED WITH MANIFOLDS/PRESSURE SWITCHES</t>
  </si>
  <si>
    <t>300</t>
  </si>
  <si>
    <t>PRESSURE SWITCH w/ GAUGE***</t>
  </si>
  <si>
    <t>***NIT/INA PS = 1 LOW + 1 HIGH</t>
  </si>
  <si>
    <t xml:space="preserve">LEAD SOURCE: </t>
  </si>
  <si>
    <t xml:space="preserve">DRAWINGS: </t>
  </si>
  <si>
    <t xml:space="preserve">SPECS: </t>
  </si>
  <si>
    <t xml:space="preserve">Estimators: </t>
  </si>
  <si>
    <t xml:space="preserve">Estimator: </t>
  </si>
  <si>
    <t xml:space="preserve">Rev: </t>
  </si>
  <si>
    <t xml:space="preserve">Est. No: </t>
  </si>
  <si>
    <t>Issue</t>
  </si>
  <si>
    <t>Date</t>
  </si>
  <si>
    <t>Rev #</t>
  </si>
  <si>
    <t>Description</t>
  </si>
  <si>
    <t>Drawings Revised</t>
  </si>
  <si>
    <t xml:space="preserve">Change Log: </t>
  </si>
  <si>
    <t>GAUGES***</t>
  </si>
  <si>
    <t>Drawing No.</t>
  </si>
  <si>
    <t>Issue Date</t>
  </si>
  <si>
    <t>MRI WALL OUTLET</t>
  </si>
  <si>
    <t>MRI SLIDE</t>
  </si>
  <si>
    <t>CEILING OUTLET - DISS</t>
  </si>
  <si>
    <t>HOSE</t>
  </si>
  <si>
    <t>LENGTH</t>
  </si>
  <si>
    <t>FITTING 1</t>
  </si>
  <si>
    <t>FITTING 2</t>
  </si>
  <si>
    <t>DF</t>
  </si>
  <si>
    <t>RETRACTOR</t>
  </si>
  <si>
    <t xml:space="preserve">CHECK VALVE </t>
  </si>
  <si>
    <t>PRESSURE CONTROL PANEL</t>
  </si>
  <si>
    <t>OXYGEN FILL STATION</t>
  </si>
  <si>
    <t>PRESSURE</t>
  </si>
  <si>
    <t>MOUNT</t>
  </si>
  <si>
    <t>GENERAL PURPOSE REGULATOR</t>
  </si>
  <si>
    <t>1/2</t>
  </si>
  <si>
    <t>BUTTERFLY VALVE</t>
  </si>
  <si>
    <t>5"</t>
  </si>
  <si>
    <t>6"</t>
  </si>
  <si>
    <t xml:space="preserve">LAST UPDATE: </t>
  </si>
  <si>
    <t xml:space="preserve">Date: </t>
  </si>
  <si>
    <t xml:space="preserve">Adder Option 1 - </t>
  </si>
  <si>
    <t>AREA ALARM PANEL</t>
  </si>
  <si>
    <t>AB</t>
  </si>
  <si>
    <t xml:space="preserve">2X2 STAGGERED </t>
  </si>
  <si>
    <t>SOURCE</t>
  </si>
  <si>
    <t>WALL OUTLET - OHMEDA</t>
  </si>
  <si>
    <t>06"</t>
  </si>
  <si>
    <t>DC</t>
  </si>
  <si>
    <t>P1.00E2</t>
  </si>
  <si>
    <t xml:space="preserve">40 POINT </t>
  </si>
  <si>
    <t>MASTER ALARM PANEL ETHERNET</t>
  </si>
  <si>
    <t>P1.00N1</t>
  </si>
  <si>
    <t>P1.00N2</t>
  </si>
  <si>
    <t>P1.00W1</t>
  </si>
  <si>
    <t>RECESSED</t>
  </si>
  <si>
    <t>P1.01E2</t>
  </si>
  <si>
    <t>P1.01N2</t>
  </si>
  <si>
    <t>P1.01W1</t>
  </si>
  <si>
    <t>P1.01W2</t>
  </si>
  <si>
    <t>X</t>
  </si>
  <si>
    <t>AAP-01-01</t>
  </si>
  <si>
    <t>Adder Option 2 -  MGO-01-01, MGO-01-02, MGO-01-03</t>
  </si>
  <si>
    <t>ZVB-1-01</t>
  </si>
  <si>
    <t xml:space="preserve">ALternative Option 1 - </t>
  </si>
  <si>
    <t>P1.02E1</t>
  </si>
  <si>
    <t>P1.02E2</t>
  </si>
  <si>
    <t xml:space="preserve">ALternative Option 2 - </t>
  </si>
  <si>
    <t>P1.02N1</t>
  </si>
  <si>
    <t>P1.02N2</t>
  </si>
  <si>
    <t>P1.02W1</t>
  </si>
  <si>
    <t>P1.02W2</t>
  </si>
  <si>
    <t>ZVB-02-02, ZVB-02-03, ZVB-02-01</t>
  </si>
  <si>
    <t xml:space="preserve">ALternative Option 3 - </t>
  </si>
  <si>
    <t>ZVB-03-02, ZVB-03-03, ZVB-03-01</t>
  </si>
  <si>
    <t xml:space="preserve">ALternative Option 4 - </t>
  </si>
  <si>
    <t>ZVB-04-02, ZVB-04-03, ZVB-04-01</t>
  </si>
  <si>
    <t>ZVB-05-02, ZVB-05-03, ZVB-05-01</t>
  </si>
  <si>
    <t xml:space="preserve">ALternative Option 5 - </t>
  </si>
  <si>
    <t>ZVB-06-02, ZVB-06-03, ZVB-06-01</t>
  </si>
  <si>
    <t xml:space="preserve">ALternative Option 6 - </t>
  </si>
  <si>
    <t xml:space="preserve">ALternative Option 7 - </t>
  </si>
  <si>
    <t>ZVB-07-02, ZVB-07-03, ZVB-07-01</t>
  </si>
  <si>
    <t xml:space="preserve">ALternative Option 8 - </t>
  </si>
  <si>
    <t>P1.03E1</t>
  </si>
  <si>
    <t>P1.03E2</t>
  </si>
  <si>
    <t>P1.03N1</t>
  </si>
  <si>
    <t>P1.03N2</t>
  </si>
  <si>
    <t>P1.03W1</t>
  </si>
  <si>
    <t>P1.03W2</t>
  </si>
  <si>
    <t>P1.04E1</t>
  </si>
  <si>
    <t>P1.04E2</t>
  </si>
  <si>
    <t>P1.04N1</t>
  </si>
  <si>
    <t>P1.04N2</t>
  </si>
  <si>
    <t>P1.04W1</t>
  </si>
  <si>
    <t>P1.04W2</t>
  </si>
  <si>
    <t>P1.05E1</t>
  </si>
  <si>
    <t>P1.05E2</t>
  </si>
  <si>
    <t>P1.05N1</t>
  </si>
  <si>
    <t>P1.05N2</t>
  </si>
  <si>
    <t>P1.05W1</t>
  </si>
  <si>
    <t>P1.05W2</t>
  </si>
  <si>
    <t>P1.06E1</t>
  </si>
  <si>
    <t>P1.06E2</t>
  </si>
  <si>
    <t>P1.06N1</t>
  </si>
  <si>
    <t>P1.06N2</t>
  </si>
  <si>
    <t>P1.06W1</t>
  </si>
  <si>
    <t>P1.06W2</t>
  </si>
  <si>
    <t>P1.07E1</t>
  </si>
  <si>
    <t>P1.07E2</t>
  </si>
  <si>
    <t>P1.07N1</t>
  </si>
  <si>
    <t>P1.07N2</t>
  </si>
  <si>
    <t>P1.07W1</t>
  </si>
  <si>
    <t>P1.07W2</t>
  </si>
  <si>
    <t>P1.08E2</t>
  </si>
  <si>
    <t>AAP-02-02, AAP-02-03, AAP-02-01,AAP-03-02, AAP-03-03, AAP-03-01,AAP-04-02, AAP-04-03, AAP-04-01,AAP-05-02, AAP-05-03, AAP-05-01,AAP-06-02, AAP-06-03, AAP-06-01,AAP-07-02, AAP-07-03, AAP-07-01,AAP-08-02, AAP-08-01</t>
  </si>
  <si>
    <t xml:space="preserve"> ZVB-08-01, ZVB-08-02</t>
  </si>
  <si>
    <t>P1.08N1</t>
  </si>
  <si>
    <t>P108N1A</t>
  </si>
  <si>
    <t>P1.08N2</t>
  </si>
  <si>
    <t>P1.08N2A</t>
  </si>
  <si>
    <t>P1.08W1</t>
  </si>
  <si>
    <t>P1.08W2</t>
  </si>
  <si>
    <t>P1.09W1</t>
  </si>
  <si>
    <t xml:space="preserve">Adder Option 3 -  </t>
  </si>
  <si>
    <t>WALL OUTLET -DISS</t>
  </si>
  <si>
    <t>WALL OUTLET - DISS</t>
  </si>
  <si>
    <t>ZONE VALVE BOX SENSOR</t>
  </si>
  <si>
    <t>ZONE VALVE BOX SENSOR SENSOR</t>
  </si>
  <si>
    <t>AREA ALARM PANEL ETHERNET</t>
  </si>
  <si>
    <t>23-250</t>
  </si>
  <si>
    <t>02-03-2023</t>
  </si>
  <si>
    <t>SOLDIERS HOME IN HOLYOKE LONG-TERM CARE FACILITY</t>
  </si>
  <si>
    <t>110 CHERRY STREET HOLYOKE, MA 01040</t>
  </si>
  <si>
    <t>P6.06</t>
  </si>
  <si>
    <t>ZVB-02-02, ZVB-02-03, ZVB-02-01, ZVB-03-02, ZVB-03-03, ZVB-03-01, ZVB-04-02, ZVB-04-03, ZVB-04-01, ZVB-05-02, ZVB-05-03, ZVB-05-01, ZVB-06-02, ZVB-06-03, ZVB-06-01, ZVB-07-02, ZVB-07-03,ZVB-07-01, ZVB-08-01, ZVB-08-02</t>
  </si>
  <si>
    <t>EOSC/BULK</t>
  </si>
  <si>
    <t>Adder Option 4 - ADD ALTERNATE
#2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</si>
</sst>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65" formatCode="mm/dd/yy;@"/>
    <numFmt numFmtId="166" formatCode="m/d/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0000"/>
      <name val="Segoe UI"/>
      <family val="2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C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5">
    <xf numFmtId="0" fontId="0" fillId="0" borderId="0" xfId="0"/>
    <xf numFmtId="0" fontId="2" fillId="0" borderId="0" xfId="0" applyFont="1"/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right"/>
    </xf>
    <xf numFmtId="1" fontId="1" fillId="0" borderId="0" xfId="0" applyNumberFormat="1" applyFont="1" applyAlignment="1">
      <alignment horizontal="center"/>
    </xf>
    <xf numFmtId="1" fontId="1" fillId="0" borderId="7" xfId="0" applyNumberFormat="1" applyFont="1" applyBorder="1" applyAlignment="1">
      <alignment horizontal="center" vertical="center"/>
    </xf>
    <xf numFmtId="1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49" fontId="0" fillId="0" borderId="6" xfId="0" applyNumberFormat="1" applyBorder="1" applyAlignment="1">
      <alignment horizontal="center" vertical="center" wrapText="1"/>
    </xf>
    <xf numFmtId="1" fontId="1" fillId="0" borderId="11" xfId="0" applyNumberFormat="1" applyFont="1" applyBorder="1" applyAlignment="1">
      <alignment horizontal="center" vertical="center"/>
    </xf>
    <xf numFmtId="49" fontId="0" fillId="0" borderId="0" xfId="0" applyNumberFormat="1" applyAlignment="1">
      <alignment horizontal="right" vertical="center"/>
    </xf>
    <xf numFmtId="49" fontId="0" fillId="0" borderId="0" xfId="0" applyNumberForma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vertical="center"/>
    </xf>
    <xf numFmtId="1" fontId="0" fillId="0" borderId="0" xfId="0" applyNumberFormat="1" applyAlignment="1">
      <alignment horizontal="center" vertical="center"/>
    </xf>
    <xf numFmtId="49" fontId="0" fillId="0" borderId="1" xfId="0" applyNumberFormat="1" applyBorder="1" applyAlignment="1">
      <alignment vertical="center"/>
    </xf>
    <xf numFmtId="49" fontId="0" fillId="0" borderId="6" xfId="0" applyNumberFormat="1" applyBorder="1" applyAlignment="1">
      <alignment horizontal="center" vertical="center"/>
    </xf>
    <xf numFmtId="1" fontId="3" fillId="2" borderId="0" xfId="0" applyNumberFormat="1" applyFont="1" applyFill="1" applyAlignment="1">
      <alignment vertical="center"/>
    </xf>
    <xf numFmtId="1" fontId="1" fillId="2" borderId="0" xfId="0" applyNumberFormat="1" applyFont="1" applyFill="1"/>
    <xf numFmtId="49" fontId="0" fillId="0" borderId="2" xfId="0" applyNumberForma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1" fillId="0" borderId="0" xfId="0" applyNumberFormat="1" applyFont="1" applyAlignment="1">
      <alignment horizontal="left" vertical="center"/>
    </xf>
    <xf numFmtId="49" fontId="2" fillId="0" borderId="2" xfId="0" applyNumberFormat="1" applyFont="1" applyBorder="1" applyAlignment="1">
      <alignment horizontal="center" vertical="center"/>
    </xf>
    <xf numFmtId="1" fontId="0" fillId="0" borderId="0" xfId="0" applyNumberFormat="1"/>
    <xf numFmtId="1" fontId="2" fillId="0" borderId="0" xfId="0" applyNumberFormat="1" applyFont="1"/>
    <xf numFmtId="1" fontId="0" fillId="2" borderId="0" xfId="0" applyNumberFormat="1" applyFill="1"/>
    <xf numFmtId="1" fontId="0" fillId="2" borderId="0" xfId="0" applyNumberFormat="1" applyFill="1" applyAlignment="1">
      <alignment horizontal="right"/>
    </xf>
    <xf numFmtId="1" fontId="3" fillId="2" borderId="0" xfId="0" applyNumberFormat="1" applyFont="1" applyFill="1" applyAlignment="1">
      <alignment horizontal="center" vertical="center"/>
    </xf>
    <xf numFmtId="1" fontId="1" fillId="2" borderId="0" xfId="0" applyNumberFormat="1" applyFont="1" applyFill="1" applyAlignment="1">
      <alignment horizontal="center"/>
    </xf>
    <xf numFmtId="1" fontId="1" fillId="2" borderId="0" xfId="0" applyNumberFormat="1" applyFont="1" applyFill="1" applyAlignment="1">
      <alignment horizontal="left" vertical="center"/>
    </xf>
    <xf numFmtId="1" fontId="4" fillId="2" borderId="1" xfId="0" applyNumberFormat="1" applyFont="1" applyFill="1" applyBorder="1" applyAlignment="1">
      <alignment horizontal="center" textRotation="90"/>
    </xf>
    <xf numFmtId="1" fontId="0" fillId="2" borderId="1" xfId="0" applyNumberFormat="1" applyFill="1" applyBorder="1" applyAlignment="1">
      <alignment horizontal="center" vertical="center" wrapText="1"/>
    </xf>
    <xf numFmtId="1" fontId="0" fillId="2" borderId="0" xfId="0" applyNumberFormat="1" applyFill="1" applyAlignment="1">
      <alignment horizontal="center" vertical="center"/>
    </xf>
    <xf numFmtId="1" fontId="1" fillId="2" borderId="0" xfId="0" applyNumberFormat="1" applyFont="1" applyFill="1" applyAlignment="1">
      <alignment vertical="center"/>
    </xf>
    <xf numFmtId="1" fontId="1" fillId="2" borderId="0" xfId="0" applyNumberFormat="1" applyFont="1" applyFill="1" applyAlignment="1">
      <alignment horizontal="center" vertical="center"/>
    </xf>
    <xf numFmtId="1" fontId="0" fillId="2" borderId="0" xfId="0" applyNumberFormat="1" applyFill="1" applyAlignment="1">
      <alignment vertical="center" wrapText="1"/>
    </xf>
    <xf numFmtId="1" fontId="0" fillId="2" borderId="0" xfId="0" applyNumberFormat="1" applyFill="1" applyAlignment="1">
      <alignment horizontal="center" vertical="center" wrapText="1"/>
    </xf>
    <xf numFmtId="1" fontId="0" fillId="2" borderId="0" xfId="0" applyNumberFormat="1" applyFill="1" applyAlignment="1">
      <alignment vertical="center"/>
    </xf>
    <xf numFmtId="1" fontId="2" fillId="2" borderId="0" xfId="0" applyNumberFormat="1" applyFont="1" applyFill="1" applyAlignment="1">
      <alignment horizontal="center" vertical="center"/>
    </xf>
    <xf numFmtId="1" fontId="0" fillId="2" borderId="0" xfId="0" applyNumberFormat="1" applyFill="1" applyAlignment="1">
      <alignment horizontal="center"/>
    </xf>
    <xf numFmtId="1" fontId="1" fillId="2" borderId="0" xfId="0" applyNumberFormat="1" applyFont="1" applyFill="1" applyAlignment="1">
      <alignment horizontal="left" vertical="top" wrapText="1"/>
    </xf>
    <xf numFmtId="49" fontId="1" fillId="0" borderId="21" xfId="0" applyNumberFormat="1" applyFont="1" applyBorder="1" applyAlignment="1">
      <alignment horizontal="right"/>
    </xf>
    <xf numFmtId="49" fontId="1" fillId="0" borderId="1" xfId="0" applyNumberFormat="1" applyFont="1" applyBorder="1" applyAlignment="1">
      <alignment horizontal="right"/>
    </xf>
    <xf numFmtId="49" fontId="1" fillId="0" borderId="4" xfId="0" applyNumberFormat="1" applyFont="1" applyBorder="1" applyAlignment="1">
      <alignment horizontal="center" vertical="center"/>
    </xf>
    <xf numFmtId="49" fontId="1" fillId="0" borderId="19" xfId="0" applyNumberFormat="1" applyFont="1" applyBorder="1" applyAlignment="1">
      <alignment horizontal="right" vertical="center"/>
    </xf>
    <xf numFmtId="49" fontId="1" fillId="0" borderId="0" xfId="0" applyNumberFormat="1" applyFont="1" applyAlignment="1">
      <alignment horizontal="right" vertical="center"/>
    </xf>
    <xf numFmtId="49" fontId="1" fillId="0" borderId="6" xfId="0" applyNumberFormat="1" applyFont="1" applyBorder="1" applyAlignment="1">
      <alignment horizontal="center" vertical="center"/>
    </xf>
    <xf numFmtId="49" fontId="1" fillId="0" borderId="0" xfId="0" applyNumberFormat="1" applyFont="1" applyAlignment="1">
      <alignment horizontal="right"/>
    </xf>
    <xf numFmtId="49" fontId="1" fillId="0" borderId="0" xfId="0" applyNumberFormat="1" applyFont="1"/>
    <xf numFmtId="49" fontId="1" fillId="0" borderId="9" xfId="0" applyNumberFormat="1" applyFont="1" applyBorder="1" applyAlignment="1">
      <alignment horizontal="center" vertical="center"/>
    </xf>
    <xf numFmtId="49" fontId="1" fillId="0" borderId="10" xfId="0" applyNumberFormat="1" applyFont="1" applyBorder="1" applyAlignment="1">
      <alignment horizontal="right" vertical="center"/>
    </xf>
    <xf numFmtId="49" fontId="1" fillId="0" borderId="20" xfId="0" applyNumberFormat="1" applyFont="1" applyBorder="1" applyAlignment="1">
      <alignment horizontal="center" vertical="center"/>
    </xf>
    <xf numFmtId="49" fontId="0" fillId="0" borderId="0" xfId="0" applyNumberFormat="1"/>
    <xf numFmtId="49" fontId="2" fillId="0" borderId="0" xfId="0" applyNumberFormat="1" applyFont="1" applyAlignment="1">
      <alignment vertical="center"/>
    </xf>
    <xf numFmtId="49" fontId="1" fillId="0" borderId="1" xfId="0" applyNumberFormat="1" applyFont="1" applyBorder="1" applyAlignment="1">
      <alignment horizontal="center"/>
    </xf>
    <xf numFmtId="12" fontId="0" fillId="0" borderId="2" xfId="0" applyNumberFormat="1" applyBorder="1" applyAlignment="1">
      <alignment horizontal="center" vertical="center" wrapText="1"/>
    </xf>
    <xf numFmtId="12" fontId="0" fillId="0" borderId="1" xfId="0" applyNumberFormat="1" applyBorder="1" applyAlignment="1">
      <alignment horizontal="center" vertical="center" wrapText="1"/>
    </xf>
    <xf numFmtId="1" fontId="1" fillId="0" borderId="5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right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right" vertical="center"/>
    </xf>
    <xf numFmtId="14" fontId="0" fillId="0" borderId="0" xfId="0" applyNumberFormat="1"/>
    <xf numFmtId="0" fontId="1" fillId="0" borderId="0" xfId="0" applyFont="1"/>
    <xf numFmtId="49" fontId="1" fillId="0" borderId="23" xfId="0" applyNumberFormat="1" applyFont="1" applyBorder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165" fontId="0" fillId="2" borderId="0" xfId="0" applyNumberFormat="1" applyFill="1"/>
    <xf numFmtId="165" fontId="0" fillId="2" borderId="0" xfId="0" applyNumberFormat="1" applyFill="1" applyAlignment="1">
      <alignment horizontal="right"/>
    </xf>
    <xf numFmtId="165" fontId="0" fillId="0" borderId="0" xfId="0" applyNumberFormat="1"/>
    <xf numFmtId="49" fontId="1" fillId="0" borderId="4" xfId="0" applyNumberFormat="1" applyFont="1" applyBorder="1" applyAlignment="1">
      <alignment horizontal="center"/>
    </xf>
    <xf numFmtId="1" fontId="1" fillId="0" borderId="5" xfId="0" applyNumberFormat="1" applyFont="1" applyBorder="1" applyAlignment="1">
      <alignment horizontal="center"/>
    </xf>
    <xf numFmtId="49" fontId="1" fillId="0" borderId="2" xfId="0" applyNumberFormat="1" applyFont="1" applyBorder="1" applyAlignment="1">
      <alignment horizontal="center"/>
    </xf>
    <xf numFmtId="49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left"/>
    </xf>
    <xf numFmtId="1" fontId="1" fillId="2" borderId="0" xfId="0" applyNumberFormat="1" applyFont="1" applyFill="1" applyAlignment="1">
      <alignment horizontal="left"/>
    </xf>
    <xf numFmtId="49" fontId="1" fillId="0" borderId="6" xfId="0" applyNumberFormat="1" applyFont="1" applyBorder="1" applyAlignment="1">
      <alignment horizontal="center"/>
    </xf>
    <xf numFmtId="49" fontId="0" fillId="0" borderId="2" xfId="0" applyNumberFormat="1" applyBorder="1" applyAlignment="1">
      <alignment horizontal="center"/>
    </xf>
    <xf numFmtId="49" fontId="1" fillId="0" borderId="19" xfId="0" applyNumberFormat="1" applyFont="1" applyBorder="1" applyAlignment="1">
      <alignment horizontal="right"/>
    </xf>
    <xf numFmtId="1" fontId="1" fillId="0" borderId="11" xfId="0" applyNumberFormat="1" applyFont="1" applyBorder="1" applyAlignment="1">
      <alignment horizontal="center"/>
    </xf>
    <xf numFmtId="49" fontId="1" fillId="0" borderId="0" xfId="0" applyNumberFormat="1" applyFont="1" applyAlignment="1">
      <alignment horizontal="left" vertical="top" wrapText="1"/>
    </xf>
    <xf numFmtId="1" fontId="1" fillId="0" borderId="0" xfId="0" applyNumberFormat="1" applyFont="1" applyAlignment="1">
      <alignment horizontal="left" vertical="top" wrapText="1"/>
    </xf>
    <xf numFmtId="0" fontId="1" fillId="0" borderId="22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1" xfId="0" applyFont="1" applyBorder="1" applyAlignment="1">
      <alignment horizontal="right"/>
    </xf>
    <xf numFmtId="49" fontId="1" fillId="0" borderId="6" xfId="0" applyNumberFormat="1" applyFont="1" applyBorder="1" applyAlignment="1">
      <alignment horizontal="center" vertical="center" wrapText="1"/>
    </xf>
    <xf numFmtId="1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166" fontId="1" fillId="0" borderId="0" xfId="0" applyNumberFormat="1" applyFont="1" applyAlignment="1">
      <alignment horizontal="left"/>
    </xf>
    <xf numFmtId="1" fontId="2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1" fontId="7" fillId="0" borderId="0" xfId="0" applyNumberFormat="1" applyFont="1"/>
    <xf numFmtId="1" fontId="7" fillId="0" borderId="0" xfId="0" applyNumberFormat="1" applyFont="1" applyAlignment="1">
      <alignment horizontal="center" vertical="center"/>
    </xf>
    <xf numFmtId="1" fontId="0" fillId="3" borderId="0" xfId="0" applyNumberFormat="1" applyFill="1"/>
    <xf numFmtId="1" fontId="1" fillId="3" borderId="7" xfId="0" applyNumberFormat="1" applyFont="1" applyFill="1" applyBorder="1" applyAlignment="1">
      <alignment horizontal="center" vertical="center"/>
    </xf>
    <xf numFmtId="1" fontId="8" fillId="4" borderId="0" xfId="0" applyNumberFormat="1" applyFont="1" applyFill="1" applyAlignment="1">
      <alignment horizontal="center" vertical="center"/>
    </xf>
    <xf numFmtId="1" fontId="9" fillId="3" borderId="0" xfId="0" applyNumberFormat="1" applyFont="1" applyFill="1"/>
    <xf numFmtId="1" fontId="9" fillId="0" borderId="0" xfId="0" applyNumberFormat="1" applyFont="1"/>
    <xf numFmtId="49" fontId="1" fillId="0" borderId="24" xfId="0" applyNumberFormat="1" applyFont="1" applyBorder="1" applyAlignment="1">
      <alignment horizontal="center" vertical="center"/>
    </xf>
    <xf numFmtId="49" fontId="1" fillId="0" borderId="25" xfId="0" applyNumberFormat="1" applyFont="1" applyBorder="1" applyAlignment="1">
      <alignment horizontal="center" vertical="center"/>
    </xf>
    <xf numFmtId="49" fontId="1" fillId="0" borderId="26" xfId="0" applyNumberFormat="1" applyFont="1" applyBorder="1" applyAlignment="1">
      <alignment horizontal="center" vertical="center"/>
    </xf>
    <xf numFmtId="49" fontId="1" fillId="0" borderId="27" xfId="0" applyNumberFormat="1" applyFont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1" fillId="0" borderId="28" xfId="0" applyNumberFormat="1" applyFont="1" applyBorder="1" applyAlignment="1">
      <alignment horizontal="center" vertical="center"/>
    </xf>
    <xf numFmtId="49" fontId="1" fillId="0" borderId="29" xfId="0" applyNumberFormat="1" applyFont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/>
    </xf>
    <xf numFmtId="49" fontId="1" fillId="0" borderId="30" xfId="0" applyNumberFormat="1" applyFont="1" applyBorder="1" applyAlignment="1">
      <alignment horizontal="center" vertic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center"/>
    </xf>
    <xf numFmtId="49" fontId="1" fillId="0" borderId="1" xfId="0" applyNumberFormat="1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1" fillId="0" borderId="8" xfId="0" applyNumberFormat="1" applyFont="1" applyBorder="1" applyAlignment="1">
      <alignment horizontal="center" vertical="center"/>
    </xf>
    <xf numFmtId="49" fontId="0" fillId="0" borderId="2" xfId="0" applyNumberFormat="1" applyBorder="1" applyAlignment="1">
      <alignment vertical="center"/>
    </xf>
    <xf numFmtId="49" fontId="0" fillId="0" borderId="8" xfId="0" applyNumberForma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49" fontId="0" fillId="0" borderId="1" xfId="0" applyNumberFormat="1" applyBorder="1" applyAlignment="1">
      <alignment vertical="center"/>
    </xf>
    <xf numFmtId="49" fontId="0" fillId="0" borderId="2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/>
    <xf numFmtId="49" fontId="1" fillId="0" borderId="16" xfId="0" applyNumberFormat="1" applyFont="1" applyBorder="1" applyAlignment="1">
      <alignment horizontal="center" vertical="center" wrapText="1"/>
    </xf>
    <xf numFmtId="49" fontId="1" fillId="0" borderId="8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22" xfId="0" applyNumberFormat="1" applyFont="1" applyBorder="1" applyAlignment="1">
      <alignment horizontal="center" vertical="center"/>
    </xf>
    <xf numFmtId="49" fontId="0" fillId="0" borderId="22" xfId="0" applyNumberFormat="1" applyBorder="1" applyAlignment="1">
      <alignment horizontal="center" vertical="center" wrapText="1"/>
    </xf>
    <xf numFmtId="49" fontId="0" fillId="0" borderId="8" xfId="0" applyNumberFormat="1" applyBorder="1" applyAlignment="1">
      <alignment horizontal="center" vertical="center" wrapText="1"/>
    </xf>
    <xf numFmtId="49" fontId="0" fillId="0" borderId="2" xfId="0" applyNumberFormat="1" applyBorder="1" applyAlignment="1">
      <alignment horizontal="center" vertical="center" wrapText="1"/>
    </xf>
    <xf numFmtId="49" fontId="0" fillId="0" borderId="1" xfId="0" applyNumberFormat="1" applyBorder="1"/>
    <xf numFmtId="49" fontId="2" fillId="0" borderId="2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49" fontId="1" fillId="0" borderId="16" xfId="0" applyNumberFormat="1" applyFont="1" applyBorder="1" applyAlignment="1">
      <alignment horizontal="center" vertical="center"/>
    </xf>
    <xf numFmtId="0" fontId="1" fillId="0" borderId="21" xfId="0" applyFont="1" applyBorder="1" applyAlignment="1">
      <alignment horizontal="left" wrapText="1"/>
    </xf>
    <xf numFmtId="0" fontId="1" fillId="0" borderId="1" xfId="0" applyFont="1" applyBorder="1" applyAlignment="1">
      <alignment horizontal="left"/>
    </xf>
    <xf numFmtId="0" fontId="1" fillId="0" borderId="22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164" fontId="1" fillId="0" borderId="1" xfId="0" applyNumberFormat="1" applyFont="1" applyBorder="1" applyAlignment="1">
      <alignment horizontal="left"/>
    </xf>
    <xf numFmtId="0" fontId="0" fillId="0" borderId="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6" fontId="1" fillId="0" borderId="22" xfId="0" applyNumberFormat="1" applyFont="1" applyBorder="1" applyAlignment="1">
      <alignment horizontal="left"/>
    </xf>
    <xf numFmtId="166" fontId="1" fillId="0" borderId="2" xfId="0" applyNumberFormat="1" applyFont="1" applyBorder="1" applyAlignment="1">
      <alignment horizontal="left"/>
    </xf>
    <xf numFmtId="14" fontId="1" fillId="0" borderId="22" xfId="0" applyNumberFormat="1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49" fontId="1" fillId="3" borderId="24" xfId="0" applyNumberFormat="1" applyFont="1" applyFill="1" applyBorder="1" applyAlignment="1">
      <alignment horizontal="center" vertical="center" wrapText="1"/>
    </xf>
    <xf numFmtId="49" fontId="1" fillId="3" borderId="25" xfId="0" applyNumberFormat="1" applyFont="1" applyFill="1" applyBorder="1" applyAlignment="1">
      <alignment horizontal="center" vertical="center"/>
    </xf>
    <xf numFmtId="49" fontId="1" fillId="3" borderId="26" xfId="0" applyNumberFormat="1" applyFont="1" applyFill="1" applyBorder="1" applyAlignment="1">
      <alignment horizontal="center" vertical="center"/>
    </xf>
    <xf numFmtId="49" fontId="1" fillId="3" borderId="27" xfId="0" applyNumberFormat="1" applyFont="1" applyFill="1" applyBorder="1" applyAlignment="1">
      <alignment horizontal="center" vertical="center"/>
    </xf>
    <xf numFmtId="49" fontId="1" fillId="3" borderId="0" xfId="0" applyNumberFormat="1" applyFont="1" applyFill="1" applyAlignment="1">
      <alignment horizontal="center" vertical="center"/>
    </xf>
    <xf numFmtId="49" fontId="1" fillId="3" borderId="28" xfId="0" applyNumberFormat="1" applyFont="1" applyFill="1" applyBorder="1" applyAlignment="1">
      <alignment horizontal="center" vertical="center"/>
    </xf>
    <xf numFmtId="49" fontId="1" fillId="3" borderId="29" xfId="0" applyNumberFormat="1" applyFont="1" applyFill="1" applyBorder="1" applyAlignment="1">
      <alignment horizontal="center" vertical="center"/>
    </xf>
    <xf numFmtId="49" fontId="1" fillId="3" borderId="3" xfId="0" applyNumberFormat="1" applyFont="1" applyFill="1" applyBorder="1" applyAlignment="1">
      <alignment horizontal="center" vertical="center"/>
    </xf>
    <xf numFmtId="49" fontId="1" fillId="3" borderId="30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8">
    <dxf>
      <numFmt numFmtId="167" formatCode="m/d/yyyy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" formatCode="0"/>
    </dxf>
    <dxf>
      <numFmt numFmtId="167" formatCode="m/d/yyyy"/>
    </dxf>
    <dxf>
      <numFmt numFmtId="30" formatCode="@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Radio" checked="Checked" firstButton="1" lockText="1" noThreeD="1"/>
</file>

<file path=xl/ctrlProps/ctrlProp2.xml><?xml version="1.0" encoding="utf-8"?>
<formControlPr xmlns="http://schemas.microsoft.com/office/spreadsheetml/2009/9/main" objectType="Radio" lockText="1" noThreeD="1"/>
</file>

<file path=xl/ctrlProps/ctrlProp3.xml><?xml version="1.0" encoding="utf-8"?>
<formControlPr xmlns="http://schemas.microsoft.com/office/spreadsheetml/2009/9/main" objectType="GBox" noThreeD="1"/>
</file>

<file path=xl/ctrlProps/ctrlProp4.xml><?xml version="1.0" encoding="utf-8"?>
<formControlPr xmlns="http://schemas.microsoft.com/office/spreadsheetml/2009/9/main" objectType="GBox" noThreeD="1"/>
</file>

<file path=xl/ctrlProps/ctrlProp5.xml><?xml version="1.0" encoding="utf-8"?>
<formControlPr xmlns="http://schemas.microsoft.com/office/spreadsheetml/2009/9/main" objectType="Radio" checked="Checked" firstButton="1" lockText="1" noThreeD="1"/>
</file>

<file path=xl/ctrlProps/ctrlProp6.xml><?xml version="1.0" encoding="utf-8"?>
<formControlPr xmlns="http://schemas.microsoft.com/office/spreadsheetml/2009/9/main" objectType="Radio" lockText="1" noThreeD="1"/>
</file>

<file path=xl/ctrlProps/ctrlProp7.xml><?xml version="1.0" encoding="utf-8"?>
<formControlPr xmlns="http://schemas.microsoft.com/office/spreadsheetml/2009/9/main" objectType="Radio" lockText="1" noThreeD="1"/>
</file>

<file path=xl/ctrlProps/ctrlProp8.xml><?xml version="1.0" encoding="utf-8"?>
<formControlPr xmlns="http://schemas.microsoft.com/office/spreadsheetml/2009/9/main" objectType="Radio" lockText="1" noThreeD="1"/>
</file>

<file path=xl/ctrlProps/ctrlProp9.xml><?xml version="1.0" encoding="utf-8"?>
<formControlPr xmlns="http://schemas.microsoft.com/office/spreadsheetml/2009/9/main" objectType="Radio" lockText="1" noThreeD="1"/>
</file>

<file path=xl/ctrlProps/ctrlProp10.xml><?xml version="1.0" encoding="utf-8"?>
<formControlPr xmlns="http://schemas.microsoft.com/office/spreadsheetml/2009/9/main" objectType="Radio" lockText="1" noThreeD="1"/>
</file>

<file path=xl/ctrlProps/ctrlProp11.xml><?xml version="1.0" encoding="utf-8"?>
<formControlPr xmlns="http://schemas.microsoft.com/office/spreadsheetml/2009/9/main" objectType="GBox" noThreeD="1"/>
</file>

<file path=xl/ctrlProps/ctrlProp12.xml><?xml version="1.0" encoding="utf-8"?>
<formControlPr xmlns="http://schemas.microsoft.com/office/spreadsheetml/2009/9/main" objectType="Radio" checked="Checked" firstButton="1" lockText="1" noThreeD="1"/>
</file>

<file path=xl/ctrlProps/ctrlProp13.xml><?xml version="1.0" encoding="utf-8"?>
<formControlPr xmlns="http://schemas.microsoft.com/office/spreadsheetml/2009/9/main" objectType="Radio" lockText="1" noThreeD="1"/>
</file>

<file path=xl/ctrlProps/ctrlProp14.xml><?xml version="1.0" encoding="utf-8"?>
<formControlPr xmlns="http://schemas.microsoft.com/office/spreadsheetml/2009/9/main" objectType="Radio" lockText="1" noThreeD="1"/>
</file>

<file path=xl/ctrlProps/ctrlProp15.xml><?xml version="1.0" encoding="utf-8"?>
<formControlPr xmlns="http://schemas.microsoft.com/office/spreadsheetml/2009/9/main" objectType="Radio" lockText="1" noThreeD="1"/>
</file>

<file path=xl/ctrlProps/ctrlProp16.xml><?xml version="1.0" encoding="utf-8"?>
<formControlPr xmlns="http://schemas.microsoft.com/office/spreadsheetml/2009/9/main" objectType="Drop" dropStyle="combo" dx="16" fmlaRange="Sheet3!$A$2:$A$9" noThreeD="1" sel="1" val="0"/>
</file>

<file path=xl/ctrlProps/ctrlProp17.xml><?xml version="1.0" encoding="utf-8"?>
<formControlPr xmlns="http://schemas.microsoft.com/office/spreadsheetml/2009/9/main" objectType="Spin" dx="22" fmlaLink="$J$2" max="30000" page="10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</xdr:row>
          <xdr:rowOff>0</xdr:rowOff>
        </xdr:from>
        <xdr:to>
          <xdr:col>3</xdr:col>
          <xdr:colOff>0</xdr:colOff>
          <xdr:row>9</xdr:row>
          <xdr:rowOff>0</xdr:rowOff>
        </xdr:to>
        <xdr:sp macro="" textlink="">
          <xdr:nvSpPr>
            <xdr:cNvPr id="1031" name="Option Button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CA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Full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8</xdr:row>
          <xdr:rowOff>0</xdr:rowOff>
        </xdr:from>
        <xdr:to>
          <xdr:col>5</xdr:col>
          <xdr:colOff>0</xdr:colOff>
          <xdr:row>9</xdr:row>
          <xdr:rowOff>0</xdr:rowOff>
        </xdr:to>
        <xdr:sp macro="" textlink="">
          <xdr:nvSpPr>
            <xdr:cNvPr id="1032" name="Option Button 8" descr="Partial Plans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CA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Partial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</xdr:row>
          <xdr:rowOff>0</xdr:rowOff>
        </xdr:from>
        <xdr:to>
          <xdr:col>10</xdr:col>
          <xdr:colOff>0</xdr:colOff>
          <xdr:row>9</xdr:row>
          <xdr:rowOff>0</xdr:rowOff>
        </xdr:to>
        <xdr:sp macro="" textlink="">
          <xdr:nvSpPr>
            <xdr:cNvPr id="1040" name="Group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0</xdr:rowOff>
        </xdr:from>
        <xdr:to>
          <xdr:col>10</xdr:col>
          <xdr:colOff>0</xdr:colOff>
          <xdr:row>10</xdr:row>
          <xdr:rowOff>0</xdr:rowOff>
        </xdr:to>
        <xdr:sp macro="" textlink="">
          <xdr:nvSpPr>
            <xdr:cNvPr id="1047" name="Group Box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0</xdr:rowOff>
        </xdr:from>
        <xdr:to>
          <xdr:col>3</xdr:col>
          <xdr:colOff>0</xdr:colOff>
          <xdr:row>10</xdr:row>
          <xdr:rowOff>0</xdr:rowOff>
        </xdr:to>
        <xdr:sp macro="" textlink="">
          <xdr:nvSpPr>
            <xdr:cNvPr id="1048" name="Option Button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CA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9</xdr:row>
          <xdr:rowOff>0</xdr:rowOff>
        </xdr:from>
        <xdr:to>
          <xdr:col>5</xdr:col>
          <xdr:colOff>0</xdr:colOff>
          <xdr:row>10</xdr:row>
          <xdr:rowOff>0</xdr:rowOff>
        </xdr:to>
        <xdr:sp macro="" textlink="">
          <xdr:nvSpPr>
            <xdr:cNvPr id="1049" name="Option Button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CA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9</xdr:row>
          <xdr:rowOff>0</xdr:rowOff>
        </xdr:from>
        <xdr:to>
          <xdr:col>7</xdr:col>
          <xdr:colOff>190500</xdr:colOff>
          <xdr:row>10</xdr:row>
          <xdr:rowOff>0</xdr:rowOff>
        </xdr:to>
        <xdr:sp macro="" textlink="">
          <xdr:nvSpPr>
            <xdr:cNvPr id="1050" name="Option Button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CA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Narrative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8</xdr:row>
          <xdr:rowOff>0</xdr:rowOff>
        </xdr:from>
        <xdr:to>
          <xdr:col>7</xdr:col>
          <xdr:colOff>0</xdr:colOff>
          <xdr:row>9</xdr:row>
          <xdr:rowOff>0</xdr:rowOff>
        </xdr:to>
        <xdr:sp macro="" textlink="">
          <xdr:nvSpPr>
            <xdr:cNvPr id="1052" name="Option Button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0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CA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Budget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8</xdr:row>
          <xdr:rowOff>0</xdr:rowOff>
        </xdr:from>
        <xdr:to>
          <xdr:col>9</xdr:col>
          <xdr:colOff>0</xdr:colOff>
          <xdr:row>9</xdr:row>
          <xdr:rowOff>0</xdr:rowOff>
        </xdr:to>
        <xdr:sp macro="" textlink="">
          <xdr:nvSpPr>
            <xdr:cNvPr id="1058" name="Option Button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CA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9</xdr:row>
          <xdr:rowOff>0</xdr:rowOff>
        </xdr:from>
        <xdr:to>
          <xdr:col>9</xdr:col>
          <xdr:colOff>0</xdr:colOff>
          <xdr:row>10</xdr:row>
          <xdr:rowOff>0</xdr:rowOff>
        </xdr:to>
        <xdr:sp macro="" textlink="">
          <xdr:nvSpPr>
            <xdr:cNvPr id="1060" name="Option Button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CA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Other: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7</xdr:row>
          <xdr:rowOff>0</xdr:rowOff>
        </xdr:from>
        <xdr:to>
          <xdr:col>10</xdr:col>
          <xdr:colOff>0</xdr:colOff>
          <xdr:row>8</xdr:row>
          <xdr:rowOff>0</xdr:rowOff>
        </xdr:to>
        <xdr:sp macro="" textlink="">
          <xdr:nvSpPr>
            <xdr:cNvPr id="1061" name="Group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7</xdr:row>
          <xdr:rowOff>0</xdr:rowOff>
        </xdr:from>
        <xdr:to>
          <xdr:col>4</xdr:col>
          <xdr:colOff>285750</xdr:colOff>
          <xdr:row>8</xdr:row>
          <xdr:rowOff>0</xdr:rowOff>
        </xdr:to>
        <xdr:sp macro="" textlink="">
          <xdr:nvSpPr>
            <xdr:cNvPr id="1062" name="Option Button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CA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Contractor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7</xdr:row>
          <xdr:rowOff>0</xdr:rowOff>
        </xdr:from>
        <xdr:to>
          <xdr:col>3</xdr:col>
          <xdr:colOff>161925</xdr:colOff>
          <xdr:row>8</xdr:row>
          <xdr:rowOff>0</xdr:rowOff>
        </xdr:to>
        <xdr:sp macro="" textlink="">
          <xdr:nvSpPr>
            <xdr:cNvPr id="1063" name="Option Button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CA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Distributor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7</xdr:row>
          <xdr:rowOff>0</xdr:rowOff>
        </xdr:from>
        <xdr:to>
          <xdr:col>7</xdr:col>
          <xdr:colOff>0</xdr:colOff>
          <xdr:row>8</xdr:row>
          <xdr:rowOff>0</xdr:rowOff>
        </xdr:to>
        <xdr:sp macro="" textlink="">
          <xdr:nvSpPr>
            <xdr:cNvPr id="1064" name="Option Button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CA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Bid Site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7</xdr:row>
          <xdr:rowOff>0</xdr:rowOff>
        </xdr:from>
        <xdr:to>
          <xdr:col>9</xdr:col>
          <xdr:colOff>0</xdr:colOff>
          <xdr:row>8</xdr:row>
          <xdr:rowOff>0</xdr:rowOff>
        </xdr:to>
        <xdr:sp macro="" textlink="">
          <xdr:nvSpPr>
            <xdr:cNvPr id="1065" name="Option Button 41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00000000-0008-0000-0000-00002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CA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Inside Sales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866775</xdr:colOff>
          <xdr:row>1</xdr:row>
          <xdr:rowOff>0</xdr:rowOff>
        </xdr:from>
        <xdr:to>
          <xdr:col>0</xdr:col>
          <xdr:colOff>1619250</xdr:colOff>
          <xdr:row>1</xdr:row>
          <xdr:rowOff>238125</xdr:rowOff>
        </xdr:to>
        <xdr:sp macro="" textlink="">
          <xdr:nvSpPr>
            <xdr:cNvPr id="1069" name="Drop Down 45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00000000-0008-0000-0000-00002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171450</xdr:colOff>
          <xdr:row>1</xdr:row>
          <xdr:rowOff>0</xdr:rowOff>
        </xdr:from>
        <xdr:to>
          <xdr:col>8</xdr:col>
          <xdr:colOff>0</xdr:colOff>
          <xdr:row>1</xdr:row>
          <xdr:rowOff>238125</xdr:rowOff>
        </xdr:to>
        <xdr:sp macro="" textlink="">
          <xdr:nvSpPr>
            <xdr:cNvPr id="1070" name="Spinner 46" hidden="1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00000000-0008-0000-0000-00002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2:E21" totalsRowShown="0">
  <autoFilter ref="A2:E21" xr:uid="{00000000-0009-0000-0100-000001000000}"/>
  <tableColumns count="5">
    <tableColumn id="1" xr3:uid="{00000000-0010-0000-0000-000001000000}" name="Issue" dataDxfId="7"/>
    <tableColumn id="2" xr3:uid="{00000000-0010-0000-0000-000002000000}" name="Date" dataDxfId="6"/>
    <tableColumn id="3" xr3:uid="{00000000-0010-0000-0000-000003000000}" name="Rev #" dataDxfId="5"/>
    <tableColumn id="4" xr3:uid="{00000000-0010-0000-0000-000004000000}" name="Description" dataDxfId="4"/>
    <tableColumn id="5" xr3:uid="{00000000-0010-0000-0000-000005000000}" name="Drawings Revised" dataDxfId="3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e4" displayName="Table4" ref="A1:B40" totalsRowShown="0" headerRowDxfId="2">
  <autoFilter ref="A1:B40" xr:uid="{00000000-0009-0000-0100-000004000000}"/>
  <tableColumns count="2">
    <tableColumn id="1" xr3:uid="{00000000-0010-0000-0100-000001000000}" name="Drawing No." dataDxfId="1"/>
    <tableColumn id="2" xr3:uid="{00000000-0010-0000-0100-000002000000}" name="Issue Date" dataDxfId="0">
      <calculatedColumnFormula>Takeoff!#REF!</calculatedColumnFormula>
    </tableColumn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B435"/>
  <sheetViews>
    <sheetView tabSelected="1" zoomScaleNormal="100" workbookViewId="0">
      <pane xSplit="10" ySplit="2" topLeftCell="K3" activePane="bottomRight" state="frozen"/>
      <selection pane="topRight" activeCell="K1" sqref="K1"/>
      <selection pane="bottomLeft" activeCell="A3" sqref="A3"/>
      <selection pane="bottomRight" activeCell="Q85" sqref="Q85"/>
    </sheetView>
  </sheetViews>
  <sheetFormatPr defaultRowHeight="15" x14ac:dyDescent="0.25"/>
  <cols>
    <col min="1" max="1" width="28.7109375" style="53" customWidth="1"/>
    <col min="2" max="2" width="4.28515625" style="4" customWidth="1"/>
    <col min="3" max="3" width="6.7109375" style="3" customWidth="1"/>
    <col min="4" max="10" width="6.7109375" style="2" customWidth="1"/>
    <col min="11" max="13" width="3.5703125" style="44" bestFit="1" customWidth="1"/>
    <col min="14" max="14" width="9.140625" style="18" customWidth="1"/>
    <col min="15" max="21" width="9.140625" style="28" customWidth="1"/>
    <col min="22" max="80" width="9.140625" style="28"/>
  </cols>
  <sheetData>
    <row r="1" spans="1:80" s="72" customFormat="1" ht="19.5" customHeight="1" x14ac:dyDescent="0.25">
      <c r="A1" s="7" t="s">
        <v>176</v>
      </c>
      <c r="B1" s="7"/>
      <c r="C1" s="53"/>
      <c r="D1" s="53"/>
      <c r="E1" s="53"/>
      <c r="F1" s="57"/>
      <c r="G1" s="57"/>
      <c r="H1" s="57"/>
      <c r="I1" s="11" t="s">
        <v>55</v>
      </c>
      <c r="J1" s="69" t="s">
        <v>175</v>
      </c>
      <c r="K1" s="70"/>
      <c r="L1" s="71"/>
      <c r="M1" s="71"/>
      <c r="N1" s="12">
        <f>1</f>
        <v>1</v>
      </c>
      <c r="O1" s="12">
        <f>N1+1</f>
        <v>2</v>
      </c>
      <c r="P1" s="12">
        <f t="shared" ref="P1:BN1" si="0">O1+1</f>
        <v>3</v>
      </c>
      <c r="Q1" s="12">
        <f t="shared" si="0"/>
        <v>4</v>
      </c>
      <c r="R1" s="12">
        <f t="shared" si="0"/>
        <v>5</v>
      </c>
      <c r="S1" s="12">
        <f t="shared" si="0"/>
        <v>6</v>
      </c>
      <c r="T1" s="12">
        <f t="shared" si="0"/>
        <v>7</v>
      </c>
      <c r="U1" s="12">
        <f t="shared" si="0"/>
        <v>8</v>
      </c>
      <c r="V1" s="12">
        <f t="shared" si="0"/>
        <v>9</v>
      </c>
      <c r="W1" s="12">
        <f t="shared" si="0"/>
        <v>10</v>
      </c>
      <c r="X1" s="12">
        <f t="shared" si="0"/>
        <v>11</v>
      </c>
      <c r="Y1" s="12">
        <f t="shared" si="0"/>
        <v>12</v>
      </c>
      <c r="Z1" s="12">
        <f t="shared" si="0"/>
        <v>13</v>
      </c>
      <c r="AA1" s="12">
        <f t="shared" si="0"/>
        <v>14</v>
      </c>
      <c r="AB1" s="12">
        <f t="shared" si="0"/>
        <v>15</v>
      </c>
      <c r="AC1" s="12">
        <f t="shared" si="0"/>
        <v>16</v>
      </c>
      <c r="AD1" s="12">
        <f t="shared" si="0"/>
        <v>17</v>
      </c>
      <c r="AE1" s="12">
        <f t="shared" si="0"/>
        <v>18</v>
      </c>
      <c r="AF1" s="12">
        <f t="shared" si="0"/>
        <v>19</v>
      </c>
      <c r="AG1" s="12">
        <f t="shared" si="0"/>
        <v>20</v>
      </c>
      <c r="AH1" s="12">
        <f t="shared" si="0"/>
        <v>21</v>
      </c>
      <c r="AI1" s="12">
        <f t="shared" si="0"/>
        <v>22</v>
      </c>
      <c r="AJ1" s="12">
        <f t="shared" si="0"/>
        <v>23</v>
      </c>
      <c r="AK1" s="12">
        <f t="shared" si="0"/>
        <v>24</v>
      </c>
      <c r="AL1" s="12">
        <f t="shared" si="0"/>
        <v>25</v>
      </c>
      <c r="AM1" s="12">
        <f t="shared" si="0"/>
        <v>26</v>
      </c>
      <c r="AN1" s="12">
        <f t="shared" si="0"/>
        <v>27</v>
      </c>
      <c r="AO1" s="12">
        <f t="shared" si="0"/>
        <v>28</v>
      </c>
      <c r="AP1" s="12">
        <f t="shared" si="0"/>
        <v>29</v>
      </c>
      <c r="AQ1" s="12">
        <f t="shared" si="0"/>
        <v>30</v>
      </c>
      <c r="AR1" s="12">
        <f t="shared" si="0"/>
        <v>31</v>
      </c>
      <c r="AS1" s="12">
        <f t="shared" si="0"/>
        <v>32</v>
      </c>
      <c r="AT1" s="12">
        <f t="shared" si="0"/>
        <v>33</v>
      </c>
      <c r="AU1" s="12">
        <f t="shared" si="0"/>
        <v>34</v>
      </c>
      <c r="AV1" s="12">
        <f t="shared" si="0"/>
        <v>35</v>
      </c>
      <c r="AW1" s="12">
        <f t="shared" si="0"/>
        <v>36</v>
      </c>
      <c r="AX1" s="12">
        <f t="shared" si="0"/>
        <v>37</v>
      </c>
      <c r="AY1" s="12">
        <f t="shared" si="0"/>
        <v>38</v>
      </c>
      <c r="AZ1" s="12">
        <f t="shared" si="0"/>
        <v>39</v>
      </c>
      <c r="BA1" s="12">
        <f t="shared" si="0"/>
        <v>40</v>
      </c>
      <c r="BB1" s="12">
        <f t="shared" si="0"/>
        <v>41</v>
      </c>
      <c r="BC1" s="12">
        <f t="shared" si="0"/>
        <v>42</v>
      </c>
      <c r="BD1" s="12">
        <f t="shared" si="0"/>
        <v>43</v>
      </c>
      <c r="BE1" s="12">
        <f t="shared" si="0"/>
        <v>44</v>
      </c>
      <c r="BF1" s="12">
        <f t="shared" si="0"/>
        <v>45</v>
      </c>
      <c r="BG1" s="12">
        <f t="shared" si="0"/>
        <v>46</v>
      </c>
      <c r="BH1" s="12">
        <f t="shared" si="0"/>
        <v>47</v>
      </c>
      <c r="BI1" s="12">
        <f t="shared" si="0"/>
        <v>48</v>
      </c>
      <c r="BJ1" s="12">
        <f t="shared" si="0"/>
        <v>49</v>
      </c>
      <c r="BK1" s="12">
        <f t="shared" si="0"/>
        <v>50</v>
      </c>
      <c r="BL1" s="12">
        <f t="shared" si="0"/>
        <v>51</v>
      </c>
      <c r="BM1" s="12">
        <f t="shared" si="0"/>
        <v>52</v>
      </c>
      <c r="BN1" s="12">
        <f t="shared" si="0"/>
        <v>53</v>
      </c>
    </row>
    <row r="2" spans="1:80" ht="19.5" customHeight="1" thickBot="1" x14ac:dyDescent="0.3">
      <c r="A2" s="64" t="s">
        <v>53</v>
      </c>
      <c r="B2"/>
      <c r="C2" s="57"/>
      <c r="D2" s="57"/>
      <c r="E2" s="57"/>
      <c r="F2" s="57"/>
      <c r="G2" s="7"/>
      <c r="H2" s="7"/>
      <c r="I2" s="65" t="s">
        <v>54</v>
      </c>
      <c r="J2" s="64">
        <v>1</v>
      </c>
      <c r="K2" s="30"/>
      <c r="L2" s="31"/>
      <c r="M2" s="31"/>
      <c r="N2" s="96" t="s">
        <v>94</v>
      </c>
      <c r="O2" s="95" t="s">
        <v>97</v>
      </c>
      <c r="P2" s="101" t="s">
        <v>98</v>
      </c>
      <c r="Q2" s="101" t="s">
        <v>99</v>
      </c>
      <c r="R2" s="101" t="s">
        <v>101</v>
      </c>
      <c r="S2" s="101" t="s">
        <v>102</v>
      </c>
      <c r="T2" s="101" t="s">
        <v>103</v>
      </c>
      <c r="U2" s="101" t="s">
        <v>104</v>
      </c>
      <c r="V2" s="101" t="s">
        <v>110</v>
      </c>
      <c r="W2" s="101" t="s">
        <v>111</v>
      </c>
      <c r="X2" s="101" t="s">
        <v>113</v>
      </c>
      <c r="Y2" s="101" t="s">
        <v>114</v>
      </c>
      <c r="Z2" s="101" t="s">
        <v>115</v>
      </c>
      <c r="AA2" s="101" t="s">
        <v>116</v>
      </c>
      <c r="AB2" s="101" t="s">
        <v>129</v>
      </c>
      <c r="AC2" s="101" t="s">
        <v>130</v>
      </c>
      <c r="AD2" s="101" t="s">
        <v>131</v>
      </c>
      <c r="AE2" s="101" t="s">
        <v>132</v>
      </c>
      <c r="AF2" s="101" t="s">
        <v>133</v>
      </c>
      <c r="AG2" s="101" t="s">
        <v>134</v>
      </c>
      <c r="AH2" s="101" t="s">
        <v>135</v>
      </c>
      <c r="AI2" s="101" t="s">
        <v>136</v>
      </c>
      <c r="AJ2" s="101" t="s">
        <v>137</v>
      </c>
      <c r="AK2" s="101" t="s">
        <v>138</v>
      </c>
      <c r="AL2" s="101" t="s">
        <v>139</v>
      </c>
      <c r="AM2" s="101" t="s">
        <v>140</v>
      </c>
      <c r="AN2" s="101" t="s">
        <v>141</v>
      </c>
      <c r="AO2" s="101" t="s">
        <v>142</v>
      </c>
      <c r="AP2" s="101" t="s">
        <v>143</v>
      </c>
      <c r="AQ2" s="101" t="s">
        <v>144</v>
      </c>
      <c r="AR2" s="101" t="s">
        <v>145</v>
      </c>
      <c r="AS2" s="101" t="s">
        <v>146</v>
      </c>
      <c r="AT2" s="101" t="s">
        <v>147</v>
      </c>
      <c r="AU2" s="101" t="s">
        <v>148</v>
      </c>
      <c r="AV2" s="101" t="s">
        <v>149</v>
      </c>
      <c r="AW2" s="101" t="s">
        <v>150</v>
      </c>
      <c r="AX2" s="28" t="s">
        <v>151</v>
      </c>
      <c r="AY2" s="101" t="s">
        <v>152</v>
      </c>
      <c r="AZ2" s="101" t="s">
        <v>153</v>
      </c>
      <c r="BA2" s="101" t="s">
        <v>154</v>
      </c>
      <c r="BB2" s="101" t="s">
        <v>155</v>
      </c>
      <c r="BC2" s="101" t="s">
        <v>156</v>
      </c>
      <c r="BD2" s="28" t="s">
        <v>157</v>
      </c>
      <c r="BE2" s="101" t="s">
        <v>158</v>
      </c>
      <c r="BF2" s="101" t="s">
        <v>159</v>
      </c>
      <c r="BG2" s="101" t="s">
        <v>162</v>
      </c>
      <c r="BH2" s="101" t="s">
        <v>163</v>
      </c>
      <c r="BI2" s="101" t="s">
        <v>164</v>
      </c>
      <c r="BJ2" s="28" t="s">
        <v>165</v>
      </c>
      <c r="BK2" s="28" t="s">
        <v>166</v>
      </c>
      <c r="BL2" s="28" t="s">
        <v>167</v>
      </c>
      <c r="BM2" s="28" t="s">
        <v>168</v>
      </c>
      <c r="BN2" s="28" t="s">
        <v>179</v>
      </c>
    </row>
    <row r="3" spans="1:80" ht="18.75" customHeight="1" x14ac:dyDescent="0.25">
      <c r="A3" s="140" t="s">
        <v>14</v>
      </c>
      <c r="B3" s="141"/>
      <c r="C3" s="141"/>
      <c r="D3" s="141"/>
      <c r="E3" s="141"/>
      <c r="F3" s="141"/>
      <c r="G3" s="141"/>
      <c r="H3" s="141"/>
      <c r="I3" s="141"/>
      <c r="J3" s="142"/>
      <c r="K3" s="21"/>
      <c r="L3" s="32"/>
      <c r="M3" s="32"/>
    </row>
    <row r="4" spans="1:80" ht="15" customHeight="1" thickBot="1" x14ac:dyDescent="0.3">
      <c r="A4" s="143"/>
      <c r="B4" s="144"/>
      <c r="C4" s="144"/>
      <c r="D4" s="144"/>
      <c r="E4" s="144"/>
      <c r="F4" s="144"/>
      <c r="G4" s="144"/>
      <c r="H4" s="144"/>
      <c r="I4" s="144"/>
      <c r="J4" s="145"/>
      <c r="K4" s="21"/>
      <c r="L4" s="32"/>
      <c r="M4" s="32"/>
    </row>
    <row r="5" spans="1:80" ht="30" customHeight="1" x14ac:dyDescent="0.25">
      <c r="A5" s="46" t="s">
        <v>24</v>
      </c>
      <c r="B5" s="135" t="s">
        <v>177</v>
      </c>
      <c r="C5" s="135"/>
      <c r="D5" s="135"/>
      <c r="E5" s="135"/>
      <c r="F5" s="135"/>
      <c r="G5" s="135"/>
      <c r="H5" s="135"/>
      <c r="I5" s="135"/>
      <c r="J5" s="135"/>
      <c r="K5" s="22"/>
      <c r="L5" s="33"/>
      <c r="M5" s="33"/>
    </row>
    <row r="6" spans="1:80" ht="19.5" customHeight="1" x14ac:dyDescent="0.25">
      <c r="A6" s="47" t="s">
        <v>25</v>
      </c>
      <c r="B6" s="136" t="s">
        <v>178</v>
      </c>
      <c r="C6" s="136"/>
      <c r="D6" s="136"/>
      <c r="E6" s="136"/>
      <c r="F6" s="136"/>
      <c r="G6" s="136"/>
      <c r="H6" s="136"/>
      <c r="I6" s="136"/>
      <c r="J6" s="136"/>
      <c r="K6" s="22"/>
      <c r="L6" s="33"/>
      <c r="M6" s="33"/>
    </row>
    <row r="7" spans="1:80" ht="19.5" customHeight="1" x14ac:dyDescent="0.25">
      <c r="A7" s="47" t="s">
        <v>29</v>
      </c>
      <c r="B7" s="148">
        <v>45002</v>
      </c>
      <c r="C7" s="148"/>
      <c r="D7" s="148"/>
      <c r="E7" s="148"/>
      <c r="F7" s="148"/>
      <c r="G7" s="148"/>
      <c r="H7" s="148"/>
      <c r="I7" s="148"/>
      <c r="J7" s="148"/>
      <c r="K7" s="22"/>
      <c r="L7" s="33"/>
      <c r="M7" s="33"/>
    </row>
    <row r="8" spans="1:80" ht="19.5" customHeight="1" x14ac:dyDescent="0.25">
      <c r="A8" s="63" t="s">
        <v>49</v>
      </c>
      <c r="B8" s="136"/>
      <c r="C8" s="136"/>
      <c r="D8" s="136"/>
      <c r="E8" s="136"/>
      <c r="F8" s="136"/>
      <c r="G8" s="136"/>
      <c r="H8" s="136"/>
      <c r="I8" s="136"/>
      <c r="J8" s="136"/>
      <c r="K8" s="22"/>
      <c r="L8" s="33"/>
      <c r="M8" s="33"/>
    </row>
    <row r="9" spans="1:80" ht="19.5" customHeight="1" x14ac:dyDescent="0.25">
      <c r="A9" s="63" t="s">
        <v>50</v>
      </c>
      <c r="B9" s="137"/>
      <c r="C9" s="138"/>
      <c r="D9" s="138"/>
      <c r="E9" s="138"/>
      <c r="F9" s="138"/>
      <c r="G9" s="138"/>
      <c r="H9" s="138"/>
      <c r="I9" s="138"/>
      <c r="J9" s="139"/>
      <c r="K9" s="22"/>
      <c r="L9" s="33"/>
      <c r="M9" s="33"/>
    </row>
    <row r="10" spans="1:80" ht="19.5" customHeight="1" x14ac:dyDescent="0.25">
      <c r="A10" s="63" t="s">
        <v>51</v>
      </c>
      <c r="B10" s="85"/>
      <c r="C10" s="86"/>
      <c r="D10" s="86"/>
      <c r="E10" s="86"/>
      <c r="F10" s="86"/>
      <c r="G10" s="86"/>
      <c r="H10" s="86"/>
      <c r="I10" s="149"/>
      <c r="J10" s="150"/>
      <c r="K10" s="22"/>
      <c r="L10" s="33"/>
      <c r="M10" s="33"/>
    </row>
    <row r="11" spans="1:80" x14ac:dyDescent="0.25">
      <c r="A11" s="47" t="s">
        <v>84</v>
      </c>
      <c r="B11" s="153"/>
      <c r="C11" s="154"/>
      <c r="D11" s="154"/>
      <c r="E11" s="154"/>
      <c r="F11" s="154"/>
      <c r="G11" s="155"/>
      <c r="H11" s="87" t="s">
        <v>85</v>
      </c>
      <c r="I11" s="151">
        <v>44936</v>
      </c>
      <c r="J11" s="152"/>
      <c r="K11" s="22"/>
      <c r="L11" s="33"/>
      <c r="M11" s="33"/>
    </row>
    <row r="12" spans="1:80" hidden="1" x14ac:dyDescent="0.25">
      <c r="A12" s="52"/>
      <c r="B12" s="89"/>
      <c r="C12" s="90"/>
      <c r="D12" s="90"/>
      <c r="E12" s="90"/>
      <c r="F12" s="90"/>
      <c r="G12" s="90"/>
      <c r="H12" s="91"/>
      <c r="I12" s="92"/>
      <c r="J12" s="92"/>
      <c r="K12" s="22"/>
      <c r="L12" s="33"/>
      <c r="M12" s="33"/>
    </row>
    <row r="13" spans="1:80" s="8" customFormat="1" ht="15.95" hidden="1" customHeight="1" thickBot="1" x14ac:dyDescent="0.3">
      <c r="A13" s="112" t="s">
        <v>91</v>
      </c>
      <c r="B13" s="112"/>
      <c r="C13" s="112"/>
      <c r="D13" s="112"/>
      <c r="E13" s="112"/>
      <c r="F13" s="112"/>
      <c r="G13" s="112"/>
      <c r="H13" s="112"/>
      <c r="I13" s="112"/>
      <c r="J13" s="112"/>
      <c r="K13" s="34"/>
      <c r="L13" s="34"/>
      <c r="M13" s="34"/>
      <c r="N13" s="18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</row>
    <row r="14" spans="1:80" hidden="1" x14ac:dyDescent="0.25">
      <c r="A14" s="48" t="s">
        <v>12</v>
      </c>
      <c r="B14" s="62" t="s">
        <v>8</v>
      </c>
      <c r="C14" s="15" t="s">
        <v>9</v>
      </c>
      <c r="D14" s="14"/>
      <c r="E14" s="12"/>
      <c r="F14" s="26"/>
      <c r="G14" s="26"/>
      <c r="H14" s="26"/>
      <c r="I14" s="26"/>
      <c r="J14" s="26"/>
      <c r="K14" s="34"/>
      <c r="L14" s="34"/>
      <c r="M14" s="34"/>
    </row>
    <row r="15" spans="1:80" hidden="1" x14ac:dyDescent="0.25">
      <c r="A15" s="51"/>
      <c r="B15" s="5">
        <f t="shared" ref="B15:B22" si="1">SUM(N15:AX15)</f>
        <v>0</v>
      </c>
      <c r="C15" s="23" t="s">
        <v>0</v>
      </c>
      <c r="D15" s="12"/>
      <c r="E15" s="7"/>
      <c r="F15" s="12"/>
      <c r="G15" s="12"/>
      <c r="H15" s="12"/>
      <c r="I15" s="12"/>
      <c r="J15" s="12"/>
      <c r="K15" s="37"/>
      <c r="L15" s="37"/>
      <c r="M15" s="37"/>
    </row>
    <row r="16" spans="1:80" ht="15.75" hidden="1" customHeight="1" x14ac:dyDescent="0.25">
      <c r="A16" s="51"/>
      <c r="B16" s="5">
        <f t="shared" si="1"/>
        <v>0</v>
      </c>
      <c r="C16" s="23" t="s">
        <v>1</v>
      </c>
      <c r="D16" s="12"/>
      <c r="E16" s="7"/>
      <c r="F16" s="12"/>
      <c r="G16" s="12"/>
      <c r="H16" s="12"/>
      <c r="I16" s="12"/>
      <c r="J16" s="12"/>
      <c r="K16" s="37"/>
      <c r="L16" s="37"/>
      <c r="M16" s="37"/>
    </row>
    <row r="17" spans="1:80" hidden="1" x14ac:dyDescent="0.25">
      <c r="A17" s="51"/>
      <c r="B17" s="5">
        <f t="shared" si="1"/>
        <v>0</v>
      </c>
      <c r="C17" s="23" t="s">
        <v>2</v>
      </c>
      <c r="D17" s="12"/>
      <c r="E17" s="7"/>
      <c r="F17" s="12"/>
      <c r="G17" s="12"/>
      <c r="H17" s="12"/>
      <c r="I17" s="12"/>
      <c r="J17" s="12"/>
      <c r="K17" s="37"/>
      <c r="L17" s="37"/>
      <c r="M17" s="37"/>
    </row>
    <row r="18" spans="1:80" hidden="1" x14ac:dyDescent="0.25">
      <c r="A18" s="51"/>
      <c r="B18" s="5">
        <f t="shared" si="1"/>
        <v>0</v>
      </c>
      <c r="C18" s="23" t="s">
        <v>3</v>
      </c>
      <c r="D18" s="12"/>
      <c r="E18" s="7"/>
      <c r="F18" s="12"/>
      <c r="G18" s="12"/>
      <c r="H18" s="12"/>
      <c r="I18" s="12"/>
      <c r="J18" s="12"/>
      <c r="K18" s="37"/>
      <c r="L18" s="37"/>
      <c r="M18" s="37"/>
    </row>
    <row r="19" spans="1:80" hidden="1" x14ac:dyDescent="0.25">
      <c r="A19" s="51"/>
      <c r="B19" s="5">
        <f t="shared" si="1"/>
        <v>0</v>
      </c>
      <c r="C19" s="23" t="s">
        <v>4</v>
      </c>
      <c r="D19" s="12"/>
      <c r="E19" s="7"/>
      <c r="F19" s="12"/>
      <c r="G19" s="12"/>
      <c r="H19" s="12"/>
      <c r="I19" s="12"/>
      <c r="J19" s="12"/>
      <c r="K19" s="37"/>
      <c r="L19" s="37"/>
      <c r="M19" s="37"/>
    </row>
    <row r="20" spans="1:80" hidden="1" x14ac:dyDescent="0.25">
      <c r="A20" s="51"/>
      <c r="B20" s="5">
        <f t="shared" si="1"/>
        <v>0</v>
      </c>
      <c r="C20" s="23" t="s">
        <v>5</v>
      </c>
      <c r="D20" s="12"/>
      <c r="E20" s="7"/>
      <c r="F20" s="12"/>
      <c r="G20" s="12"/>
      <c r="H20" s="12"/>
      <c r="I20" s="12"/>
      <c r="J20" s="12"/>
      <c r="K20" s="37"/>
      <c r="L20" s="37"/>
      <c r="M20" s="37"/>
    </row>
    <row r="21" spans="1:80" s="1" customFormat="1" hidden="1" x14ac:dyDescent="0.25">
      <c r="A21" s="51"/>
      <c r="B21" s="5">
        <f t="shared" si="1"/>
        <v>0</v>
      </c>
      <c r="C21" s="27" t="s">
        <v>30</v>
      </c>
      <c r="D21" s="13"/>
      <c r="E21" s="58"/>
      <c r="F21" s="13"/>
      <c r="G21" s="13"/>
      <c r="H21" s="13"/>
      <c r="I21" s="13"/>
      <c r="J21" s="13"/>
      <c r="K21" s="43"/>
      <c r="L21" s="43"/>
      <c r="M21" s="43"/>
      <c r="N21" s="93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  <c r="BD21" s="29"/>
      <c r="BE21" s="29"/>
      <c r="BF21" s="29"/>
      <c r="BG21" s="29"/>
      <c r="BH21" s="29"/>
      <c r="BI21" s="29"/>
      <c r="BJ21" s="29"/>
      <c r="BK21" s="29"/>
      <c r="BL21" s="29"/>
      <c r="BM21" s="29"/>
      <c r="BN21" s="29"/>
      <c r="BO21" s="29"/>
      <c r="BP21" s="29"/>
      <c r="BQ21" s="29"/>
      <c r="BR21" s="29"/>
      <c r="BS21" s="29"/>
      <c r="BT21" s="29"/>
      <c r="BU21" s="29"/>
      <c r="BV21" s="29"/>
      <c r="BW21" s="29"/>
      <c r="BX21" s="29"/>
      <c r="BY21" s="29"/>
      <c r="BZ21" s="29"/>
      <c r="CA21" s="29"/>
      <c r="CB21" s="29"/>
    </row>
    <row r="22" spans="1:80" ht="15.75" hidden="1" thickBot="1" x14ac:dyDescent="0.3">
      <c r="A22" s="51"/>
      <c r="B22" s="5">
        <f t="shared" si="1"/>
        <v>0</v>
      </c>
      <c r="C22" s="20" t="s">
        <v>39</v>
      </c>
      <c r="D22" s="12"/>
      <c r="E22" s="7"/>
      <c r="F22" s="12"/>
      <c r="G22" s="12"/>
      <c r="H22" s="12"/>
      <c r="I22" s="12"/>
      <c r="J22" s="12"/>
      <c r="K22" s="37"/>
      <c r="L22" s="37"/>
      <c r="M22" s="37"/>
    </row>
    <row r="23" spans="1:80" ht="16.5" hidden="1" customHeight="1" thickBot="1" x14ac:dyDescent="0.3">
      <c r="A23" s="49" t="s">
        <v>13</v>
      </c>
      <c r="B23" s="10">
        <f>SUM(B15:B22)</f>
        <v>0</v>
      </c>
      <c r="C23" s="17"/>
      <c r="D23" s="12"/>
      <c r="E23" s="7"/>
      <c r="F23" s="12"/>
      <c r="G23" s="12"/>
      <c r="H23" s="12"/>
      <c r="I23" s="12"/>
      <c r="J23" s="12"/>
      <c r="K23" s="37"/>
      <c r="L23" s="37"/>
      <c r="M23" s="37"/>
    </row>
    <row r="24" spans="1:80" hidden="1" x14ac:dyDescent="0.25">
      <c r="A24" s="50"/>
      <c r="B24" s="16"/>
      <c r="C24" s="17"/>
      <c r="D24" s="12"/>
      <c r="E24" s="7"/>
      <c r="F24" s="12"/>
      <c r="G24" s="12"/>
      <c r="H24" s="12"/>
      <c r="I24" s="12"/>
      <c r="J24" s="12"/>
      <c r="K24" s="37"/>
      <c r="L24" s="37"/>
      <c r="M24" s="37"/>
    </row>
    <row r="25" spans="1:80" s="8" customFormat="1" ht="15.95" hidden="1" customHeight="1" thickBot="1" x14ac:dyDescent="0.3">
      <c r="A25" s="112" t="s">
        <v>26</v>
      </c>
      <c r="B25" s="112"/>
      <c r="C25" s="112"/>
      <c r="D25" s="112"/>
      <c r="E25" s="112"/>
      <c r="F25" s="112"/>
      <c r="G25" s="112"/>
      <c r="H25" s="112"/>
      <c r="I25" s="112"/>
      <c r="J25" s="112"/>
      <c r="K25" s="34"/>
      <c r="L25" s="34"/>
      <c r="M25" s="34"/>
      <c r="N25" s="18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</row>
    <row r="26" spans="1:80" hidden="1" x14ac:dyDescent="0.25">
      <c r="A26" s="48" t="s">
        <v>12</v>
      </c>
      <c r="B26" s="62" t="s">
        <v>8</v>
      </c>
      <c r="C26" s="14"/>
      <c r="D26" s="14"/>
      <c r="E26" s="7"/>
      <c r="F26" s="12"/>
      <c r="G26" s="12"/>
      <c r="H26" s="12"/>
      <c r="I26" s="12"/>
      <c r="J26" s="12"/>
      <c r="K26" s="37"/>
      <c r="L26" s="37"/>
      <c r="M26" s="37"/>
    </row>
    <row r="27" spans="1:80" ht="15.75" hidden="1" thickBot="1" x14ac:dyDescent="0.3">
      <c r="A27" s="51"/>
      <c r="B27" s="5">
        <f>B17</f>
        <v>0</v>
      </c>
      <c r="C27" s="12"/>
      <c r="D27" s="12"/>
      <c r="E27" s="7"/>
      <c r="F27" s="12"/>
      <c r="G27" s="12"/>
      <c r="H27" s="12"/>
      <c r="I27" s="12"/>
      <c r="J27" s="12"/>
      <c r="K27" s="37"/>
      <c r="L27" s="37"/>
      <c r="M27" s="37"/>
    </row>
    <row r="28" spans="1:80" ht="15.75" hidden="1" thickBot="1" x14ac:dyDescent="0.3">
      <c r="A28" s="49" t="s">
        <v>13</v>
      </c>
      <c r="B28" s="10">
        <f>SUM(B27)</f>
        <v>0</v>
      </c>
      <c r="C28" s="11"/>
      <c r="D28" s="12"/>
      <c r="E28" s="7"/>
      <c r="F28" s="12"/>
      <c r="G28" s="12"/>
      <c r="H28" s="12"/>
      <c r="I28" s="12"/>
      <c r="J28" s="12"/>
      <c r="K28" s="37"/>
      <c r="L28" s="37"/>
      <c r="M28" s="37"/>
    </row>
    <row r="29" spans="1:80" hidden="1" x14ac:dyDescent="0.25">
      <c r="A29" s="50"/>
      <c r="B29" s="16"/>
      <c r="C29" s="11"/>
      <c r="D29" s="12"/>
      <c r="E29" s="7"/>
      <c r="F29" s="12"/>
      <c r="G29" s="12"/>
      <c r="H29" s="12"/>
      <c r="I29" s="12"/>
      <c r="J29" s="12"/>
      <c r="K29" s="37"/>
      <c r="L29" s="37"/>
      <c r="M29" s="37"/>
      <c r="CB29"/>
    </row>
    <row r="30" spans="1:80" s="8" customFormat="1" ht="15.95" hidden="1" customHeight="1" thickBot="1" x14ac:dyDescent="0.3">
      <c r="A30" s="112" t="s">
        <v>65</v>
      </c>
      <c r="B30" s="112"/>
      <c r="C30" s="112"/>
      <c r="D30" s="112"/>
      <c r="E30" s="112"/>
      <c r="F30" s="112"/>
      <c r="G30" s="112"/>
      <c r="H30" s="112"/>
      <c r="I30" s="112"/>
      <c r="J30" s="112"/>
      <c r="K30" s="34"/>
      <c r="L30" s="34"/>
      <c r="M30" s="34"/>
      <c r="N30" s="18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</row>
    <row r="31" spans="1:80" hidden="1" x14ac:dyDescent="0.25">
      <c r="A31" s="48" t="s">
        <v>12</v>
      </c>
      <c r="B31" s="62" t="s">
        <v>8</v>
      </c>
      <c r="C31" s="15" t="s">
        <v>9</v>
      </c>
      <c r="D31" s="14"/>
      <c r="E31" s="12"/>
      <c r="F31" s="26"/>
      <c r="G31" s="26"/>
      <c r="H31" s="26"/>
      <c r="I31" s="26"/>
      <c r="J31" s="26"/>
      <c r="K31" s="34"/>
      <c r="L31" s="34"/>
      <c r="M31" s="34"/>
      <c r="CB31"/>
    </row>
    <row r="32" spans="1:80" hidden="1" x14ac:dyDescent="0.25">
      <c r="A32" s="51"/>
      <c r="B32" s="5">
        <f t="shared" ref="B32:B39" si="2">SUM(N32:AW32)</f>
        <v>0</v>
      </c>
      <c r="C32" s="23" t="s">
        <v>0</v>
      </c>
      <c r="D32" s="12"/>
      <c r="E32" s="7"/>
      <c r="F32" s="12"/>
      <c r="G32" s="12"/>
      <c r="H32" s="12"/>
      <c r="I32" s="12"/>
      <c r="J32" s="12"/>
      <c r="K32" s="37"/>
      <c r="L32" s="37"/>
      <c r="M32" s="37"/>
      <c r="CB32"/>
    </row>
    <row r="33" spans="1:80" hidden="1" x14ac:dyDescent="0.25">
      <c r="A33" s="51"/>
      <c r="B33" s="5">
        <f t="shared" si="2"/>
        <v>0</v>
      </c>
      <c r="C33" s="23" t="s">
        <v>1</v>
      </c>
      <c r="D33" s="12"/>
      <c r="E33" s="7"/>
      <c r="F33" s="12"/>
      <c r="G33" s="12"/>
      <c r="H33" s="12"/>
      <c r="I33" s="12"/>
      <c r="J33" s="12"/>
      <c r="K33" s="37"/>
      <c r="L33" s="37"/>
      <c r="M33" s="37"/>
      <c r="CB33"/>
    </row>
    <row r="34" spans="1:80" hidden="1" x14ac:dyDescent="0.25">
      <c r="A34" s="51"/>
      <c r="B34" s="5">
        <f t="shared" si="2"/>
        <v>0</v>
      </c>
      <c r="C34" s="23" t="s">
        <v>2</v>
      </c>
      <c r="D34" s="12"/>
      <c r="E34" s="7"/>
      <c r="F34" s="12"/>
      <c r="G34" s="12"/>
      <c r="H34" s="12"/>
      <c r="I34" s="12"/>
      <c r="J34" s="12"/>
      <c r="K34" s="37"/>
      <c r="L34" s="37"/>
      <c r="M34" s="37"/>
      <c r="CB34"/>
    </row>
    <row r="35" spans="1:80" hidden="1" x14ac:dyDescent="0.25">
      <c r="A35" s="51"/>
      <c r="B35" s="5">
        <f t="shared" si="2"/>
        <v>0</v>
      </c>
      <c r="C35" s="23" t="s">
        <v>6</v>
      </c>
      <c r="D35" s="12"/>
      <c r="E35" s="7"/>
      <c r="F35" s="12"/>
      <c r="G35" s="12"/>
      <c r="H35" s="12"/>
      <c r="I35" s="12"/>
      <c r="J35" s="12"/>
      <c r="K35" s="37"/>
      <c r="L35" s="37"/>
      <c r="M35" s="37"/>
      <c r="CB35"/>
    </row>
    <row r="36" spans="1:80" hidden="1" x14ac:dyDescent="0.25">
      <c r="A36" s="51"/>
      <c r="B36" s="5">
        <f t="shared" si="2"/>
        <v>0</v>
      </c>
      <c r="C36" s="23" t="s">
        <v>4</v>
      </c>
      <c r="D36" s="12"/>
      <c r="E36" s="7"/>
      <c r="F36" s="12"/>
      <c r="G36" s="12"/>
      <c r="H36" s="12"/>
      <c r="I36" s="12"/>
      <c r="J36" s="12"/>
      <c r="K36" s="37"/>
      <c r="L36" s="37"/>
      <c r="M36" s="37"/>
      <c r="CB36"/>
    </row>
    <row r="37" spans="1:80" hidden="1" x14ac:dyDescent="0.25">
      <c r="A37" s="51"/>
      <c r="B37" s="5">
        <f t="shared" si="2"/>
        <v>0</v>
      </c>
      <c r="C37" s="23" t="s">
        <v>5</v>
      </c>
      <c r="D37" s="12"/>
      <c r="E37" s="7"/>
      <c r="F37" s="12"/>
      <c r="G37" s="12"/>
      <c r="H37" s="12"/>
      <c r="I37" s="12"/>
      <c r="J37" s="12"/>
      <c r="K37" s="37"/>
      <c r="L37" s="37"/>
      <c r="M37" s="37"/>
      <c r="CB37"/>
    </row>
    <row r="38" spans="1:80" s="1" customFormat="1" hidden="1" x14ac:dyDescent="0.25">
      <c r="A38" s="51"/>
      <c r="B38" s="5">
        <f t="shared" si="2"/>
        <v>0</v>
      </c>
      <c r="C38" s="27" t="s">
        <v>30</v>
      </c>
      <c r="D38" s="13"/>
      <c r="E38" s="58"/>
      <c r="F38" s="13"/>
      <c r="G38" s="13"/>
      <c r="H38" s="13"/>
      <c r="I38" s="13"/>
      <c r="J38" s="13"/>
      <c r="K38" s="43"/>
      <c r="L38" s="43"/>
      <c r="M38" s="43"/>
      <c r="N38" s="93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29"/>
      <c r="AV38" s="29"/>
      <c r="AW38" s="29"/>
      <c r="AX38" s="29"/>
      <c r="AY38" s="29"/>
      <c r="AZ38" s="29"/>
      <c r="BA38" s="29"/>
      <c r="BB38" s="29"/>
      <c r="BC38" s="29"/>
      <c r="BD38" s="29"/>
      <c r="BE38" s="29"/>
      <c r="BF38" s="29"/>
      <c r="BG38" s="29"/>
      <c r="BH38" s="29"/>
      <c r="BI38" s="29"/>
      <c r="BJ38" s="29"/>
      <c r="BK38" s="29"/>
      <c r="BL38" s="29"/>
      <c r="BM38" s="29"/>
      <c r="BN38" s="29"/>
      <c r="BO38" s="29"/>
      <c r="BP38" s="29"/>
      <c r="BQ38" s="29"/>
      <c r="BR38" s="29"/>
      <c r="BS38" s="29"/>
      <c r="BT38" s="29"/>
      <c r="BU38" s="29"/>
      <c r="BV38" s="29"/>
      <c r="BW38" s="29"/>
      <c r="BX38" s="29"/>
      <c r="BY38" s="29"/>
      <c r="BZ38" s="29"/>
      <c r="CA38" s="29"/>
    </row>
    <row r="39" spans="1:80" ht="15.75" hidden="1" thickBot="1" x14ac:dyDescent="0.3">
      <c r="A39" s="51"/>
      <c r="B39" s="5">
        <f t="shared" si="2"/>
        <v>0</v>
      </c>
      <c r="C39" s="20" t="s">
        <v>39</v>
      </c>
      <c r="D39" s="12"/>
      <c r="E39" s="7"/>
      <c r="F39" s="12"/>
      <c r="G39" s="12"/>
      <c r="H39" s="12"/>
      <c r="I39" s="12"/>
      <c r="J39" s="12"/>
      <c r="K39" s="37"/>
      <c r="L39" s="37"/>
      <c r="M39" s="37"/>
      <c r="CB39"/>
    </row>
    <row r="40" spans="1:80" ht="15.75" hidden="1" thickBot="1" x14ac:dyDescent="0.3">
      <c r="A40" s="49" t="s">
        <v>13</v>
      </c>
      <c r="B40" s="10">
        <f>SUM(B32:B39)</f>
        <v>0</v>
      </c>
      <c r="C40" s="17"/>
      <c r="D40" s="12"/>
      <c r="E40" s="7"/>
      <c r="F40" s="12"/>
      <c r="G40" s="12"/>
      <c r="H40" s="12"/>
      <c r="I40" s="12"/>
      <c r="J40" s="12"/>
      <c r="K40" s="37"/>
      <c r="L40" s="37"/>
      <c r="M40" s="37"/>
      <c r="CB40"/>
    </row>
    <row r="41" spans="1:80" hidden="1" x14ac:dyDescent="0.25">
      <c r="C41" s="14"/>
      <c r="E41" s="57"/>
      <c r="CB41"/>
    </row>
    <row r="42" spans="1:80" s="8" customFormat="1" ht="15.95" hidden="1" customHeight="1" thickBot="1" x14ac:dyDescent="0.3">
      <c r="A42" s="112" t="s">
        <v>66</v>
      </c>
      <c r="B42" s="112"/>
      <c r="C42" s="112"/>
      <c r="D42" s="112"/>
      <c r="E42" s="112"/>
      <c r="F42" s="112"/>
      <c r="G42" s="112"/>
      <c r="H42" s="112"/>
      <c r="I42" s="112"/>
      <c r="J42" s="112"/>
      <c r="K42" s="34"/>
      <c r="L42" s="34"/>
      <c r="M42" s="34"/>
      <c r="N42" s="18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</row>
    <row r="43" spans="1:80" hidden="1" x14ac:dyDescent="0.25">
      <c r="A43" s="48" t="s">
        <v>12</v>
      </c>
      <c r="B43" s="62" t="s">
        <v>8</v>
      </c>
      <c r="C43" s="14"/>
      <c r="D43" s="14"/>
      <c r="E43" s="7"/>
      <c r="F43" s="12"/>
      <c r="G43" s="12"/>
      <c r="H43" s="12"/>
      <c r="I43" s="12"/>
      <c r="J43" s="12"/>
      <c r="K43" s="37"/>
      <c r="L43" s="37"/>
      <c r="M43" s="37"/>
      <c r="CB43"/>
    </row>
    <row r="44" spans="1:80" ht="15.75" hidden="1" thickBot="1" x14ac:dyDescent="0.3">
      <c r="A44" s="51"/>
      <c r="B44" s="5">
        <f>B34</f>
        <v>0</v>
      </c>
      <c r="C44" s="12"/>
      <c r="D44" s="12"/>
      <c r="E44" s="7"/>
      <c r="F44" s="12"/>
      <c r="G44" s="12"/>
      <c r="H44" s="12"/>
      <c r="I44" s="12"/>
      <c r="J44" s="12"/>
      <c r="K44" s="37"/>
      <c r="L44" s="37"/>
      <c r="M44" s="37"/>
      <c r="CB44"/>
    </row>
    <row r="45" spans="1:80" ht="15.75" hidden="1" thickBot="1" x14ac:dyDescent="0.3">
      <c r="A45" s="49" t="s">
        <v>13</v>
      </c>
      <c r="B45" s="10">
        <f>SUM(B44)</f>
        <v>0</v>
      </c>
      <c r="C45" s="11"/>
      <c r="D45" s="12"/>
      <c r="E45" s="7"/>
      <c r="F45" s="12"/>
      <c r="G45" s="12"/>
      <c r="H45" s="12"/>
      <c r="I45" s="12"/>
      <c r="J45" s="12"/>
      <c r="K45" s="37"/>
      <c r="L45" s="37"/>
      <c r="M45" s="37"/>
      <c r="CB45"/>
    </row>
    <row r="46" spans="1:80" hidden="1" x14ac:dyDescent="0.25">
      <c r="A46" s="52"/>
      <c r="E46" s="57"/>
      <c r="CB46"/>
    </row>
    <row r="47" spans="1:80" s="8" customFormat="1" ht="15.95" hidden="1" customHeight="1" thickBot="1" x14ac:dyDescent="0.3">
      <c r="A47" s="112" t="s">
        <v>67</v>
      </c>
      <c r="B47" s="112"/>
      <c r="C47" s="112"/>
      <c r="D47" s="112"/>
      <c r="E47" s="112"/>
      <c r="F47" s="112"/>
      <c r="G47" s="112"/>
      <c r="H47" s="112"/>
      <c r="I47" s="112"/>
      <c r="J47" s="112"/>
      <c r="K47" s="34"/>
      <c r="L47" s="34"/>
      <c r="M47" s="34"/>
      <c r="N47" s="18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</row>
    <row r="48" spans="1:80" hidden="1" x14ac:dyDescent="0.25">
      <c r="A48" s="48" t="s">
        <v>12</v>
      </c>
      <c r="B48" s="62" t="s">
        <v>8</v>
      </c>
      <c r="C48" s="15" t="s">
        <v>9</v>
      </c>
      <c r="D48" s="12"/>
      <c r="E48" s="7"/>
      <c r="F48" s="12"/>
      <c r="G48" s="12"/>
      <c r="H48" s="12"/>
      <c r="I48" s="12"/>
      <c r="J48" s="12"/>
      <c r="K48" s="37"/>
      <c r="L48" s="37"/>
      <c r="M48" s="37"/>
      <c r="CB48"/>
    </row>
    <row r="49" spans="1:80" hidden="1" x14ac:dyDescent="0.25">
      <c r="A49" s="51"/>
      <c r="B49" s="5">
        <f t="shared" ref="B49:B56" si="3">SUM(N49:AW49)</f>
        <v>0</v>
      </c>
      <c r="C49" s="23" t="s">
        <v>0</v>
      </c>
      <c r="D49" s="12"/>
      <c r="E49" s="7"/>
      <c r="F49" s="12"/>
      <c r="G49" s="12"/>
      <c r="H49" s="12"/>
      <c r="I49" s="12"/>
      <c r="J49" s="12"/>
      <c r="K49" s="37"/>
      <c r="L49" s="37"/>
      <c r="M49" s="37"/>
      <c r="CB49"/>
    </row>
    <row r="50" spans="1:80" hidden="1" x14ac:dyDescent="0.25">
      <c r="A50" s="51"/>
      <c r="B50" s="5">
        <f t="shared" si="3"/>
        <v>0</v>
      </c>
      <c r="C50" s="23" t="s">
        <v>1</v>
      </c>
      <c r="D50" s="12"/>
      <c r="E50" s="7"/>
      <c r="F50" s="12"/>
      <c r="G50" s="12"/>
      <c r="H50" s="12"/>
      <c r="I50" s="12"/>
      <c r="J50" s="12"/>
      <c r="K50" s="37"/>
      <c r="L50" s="37"/>
      <c r="M50" s="37"/>
      <c r="CB50"/>
    </row>
    <row r="51" spans="1:80" hidden="1" x14ac:dyDescent="0.25">
      <c r="A51" s="51"/>
      <c r="B51" s="5">
        <f t="shared" si="3"/>
        <v>0</v>
      </c>
      <c r="C51" s="23" t="s">
        <v>2</v>
      </c>
      <c r="D51" s="12"/>
      <c r="E51" s="7"/>
      <c r="F51" s="12"/>
      <c r="G51" s="12"/>
      <c r="H51" s="12"/>
      <c r="I51" s="12"/>
      <c r="J51" s="12"/>
      <c r="K51" s="37"/>
      <c r="L51" s="37"/>
      <c r="M51" s="37"/>
      <c r="CB51"/>
    </row>
    <row r="52" spans="1:80" hidden="1" x14ac:dyDescent="0.25">
      <c r="A52" s="51"/>
      <c r="B52" s="5">
        <f t="shared" si="3"/>
        <v>0</v>
      </c>
      <c r="C52" s="23" t="s">
        <v>6</v>
      </c>
      <c r="D52" s="12"/>
      <c r="E52" s="7"/>
      <c r="F52" s="12"/>
      <c r="G52" s="12"/>
      <c r="H52" s="12"/>
      <c r="I52" s="12"/>
      <c r="J52" s="12"/>
      <c r="K52" s="37"/>
      <c r="L52" s="37"/>
      <c r="M52" s="37"/>
      <c r="CB52"/>
    </row>
    <row r="53" spans="1:80" hidden="1" x14ac:dyDescent="0.25">
      <c r="A53" s="51"/>
      <c r="B53" s="5">
        <f t="shared" si="3"/>
        <v>0</v>
      </c>
      <c r="C53" s="23" t="s">
        <v>4</v>
      </c>
      <c r="D53" s="12"/>
      <c r="E53" s="7"/>
      <c r="F53" s="12"/>
      <c r="G53" s="12"/>
      <c r="H53" s="12"/>
      <c r="I53" s="12"/>
      <c r="J53" s="12"/>
      <c r="K53" s="37"/>
      <c r="L53" s="37"/>
      <c r="M53" s="37"/>
      <c r="CB53"/>
    </row>
    <row r="54" spans="1:80" hidden="1" x14ac:dyDescent="0.25">
      <c r="A54" s="51"/>
      <c r="B54" s="5">
        <f t="shared" si="3"/>
        <v>0</v>
      </c>
      <c r="C54" s="23" t="s">
        <v>5</v>
      </c>
      <c r="D54" s="12"/>
      <c r="E54" s="7"/>
      <c r="F54" s="12"/>
      <c r="G54" s="12"/>
      <c r="H54" s="12"/>
      <c r="I54" s="12"/>
      <c r="J54" s="12"/>
      <c r="K54" s="37"/>
      <c r="L54" s="37"/>
      <c r="M54" s="37"/>
      <c r="CB54"/>
    </row>
    <row r="55" spans="1:80" s="1" customFormat="1" hidden="1" x14ac:dyDescent="0.25">
      <c r="A55" s="51"/>
      <c r="B55" s="5">
        <f t="shared" si="3"/>
        <v>0</v>
      </c>
      <c r="C55" s="27" t="s">
        <v>30</v>
      </c>
      <c r="D55" s="13"/>
      <c r="E55" s="58"/>
      <c r="F55" s="13"/>
      <c r="G55" s="13"/>
      <c r="H55" s="13"/>
      <c r="I55" s="13"/>
      <c r="J55" s="13"/>
      <c r="K55" s="43"/>
      <c r="L55" s="43"/>
      <c r="M55" s="43"/>
      <c r="N55" s="93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29"/>
      <c r="AN55" s="29"/>
      <c r="AO55" s="29"/>
      <c r="AP55" s="29"/>
      <c r="AQ55" s="29"/>
      <c r="AR55" s="29"/>
      <c r="AS55" s="29"/>
      <c r="AT55" s="29"/>
      <c r="AU55" s="29"/>
      <c r="AV55" s="29"/>
      <c r="AW55" s="29"/>
      <c r="AX55" s="29"/>
      <c r="AY55" s="29"/>
      <c r="AZ55" s="29"/>
      <c r="BA55" s="29"/>
      <c r="BB55" s="29"/>
      <c r="BC55" s="29"/>
      <c r="BD55" s="29"/>
      <c r="BE55" s="29"/>
      <c r="BF55" s="29"/>
      <c r="BG55" s="29"/>
      <c r="BH55" s="29"/>
      <c r="BI55" s="29"/>
      <c r="BJ55" s="29"/>
      <c r="BK55" s="29"/>
      <c r="BL55" s="29"/>
      <c r="BM55" s="29"/>
      <c r="BN55" s="29"/>
      <c r="BO55" s="29"/>
      <c r="BP55" s="29"/>
      <c r="BQ55" s="29"/>
      <c r="BR55" s="29"/>
      <c r="BS55" s="29"/>
      <c r="BT55" s="29"/>
      <c r="BU55" s="29"/>
      <c r="BV55" s="29"/>
      <c r="BW55" s="29"/>
      <c r="BX55" s="29"/>
      <c r="BY55" s="29"/>
      <c r="BZ55" s="29"/>
      <c r="CA55" s="29"/>
    </row>
    <row r="56" spans="1:80" ht="15.75" hidden="1" thickBot="1" x14ac:dyDescent="0.3">
      <c r="A56" s="51"/>
      <c r="B56" s="5">
        <f t="shared" si="3"/>
        <v>0</v>
      </c>
      <c r="C56" s="20" t="s">
        <v>39</v>
      </c>
      <c r="D56" s="12"/>
      <c r="E56" s="7"/>
      <c r="F56" s="12"/>
      <c r="G56" s="12"/>
      <c r="H56" s="12"/>
      <c r="I56" s="12"/>
      <c r="J56" s="12"/>
      <c r="K56" s="37"/>
      <c r="L56" s="37"/>
      <c r="M56" s="37"/>
      <c r="CB56"/>
    </row>
    <row r="57" spans="1:80" ht="15.75" hidden="1" thickBot="1" x14ac:dyDescent="0.3">
      <c r="A57" s="49" t="s">
        <v>13</v>
      </c>
      <c r="B57" s="10">
        <f>SUM(B49:B56)</f>
        <v>0</v>
      </c>
      <c r="C57" s="11"/>
      <c r="D57" s="12"/>
      <c r="E57" s="7"/>
      <c r="F57" s="12"/>
      <c r="G57" s="12"/>
      <c r="H57" s="12"/>
      <c r="I57" s="12"/>
      <c r="J57" s="12"/>
      <c r="K57" s="37"/>
      <c r="L57" s="37"/>
      <c r="M57" s="37"/>
      <c r="CB57"/>
    </row>
    <row r="58" spans="1:80" hidden="1" x14ac:dyDescent="0.25">
      <c r="A58" s="52"/>
      <c r="E58" s="57"/>
      <c r="CB58"/>
    </row>
    <row r="59" spans="1:80" s="8" customFormat="1" ht="15.95" hidden="1" customHeight="1" thickBot="1" x14ac:dyDescent="0.3">
      <c r="A59" s="112" t="s">
        <v>68</v>
      </c>
      <c r="B59" s="112"/>
      <c r="C59" s="112"/>
      <c r="D59" s="112"/>
      <c r="E59" s="112"/>
      <c r="F59" s="112"/>
      <c r="G59" s="112"/>
      <c r="H59" s="112"/>
      <c r="I59" s="112"/>
      <c r="J59" s="112"/>
      <c r="K59" s="34"/>
      <c r="L59" s="34"/>
      <c r="M59" s="34"/>
      <c r="N59" s="18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</row>
    <row r="60" spans="1:80" hidden="1" x14ac:dyDescent="0.25">
      <c r="A60" s="48" t="s">
        <v>12</v>
      </c>
      <c r="B60" s="62" t="s">
        <v>8</v>
      </c>
      <c r="C60" s="118" t="s">
        <v>9</v>
      </c>
      <c r="D60" s="113"/>
      <c r="E60" s="113" t="s">
        <v>69</v>
      </c>
      <c r="F60" s="113"/>
      <c r="G60" s="113" t="s">
        <v>70</v>
      </c>
      <c r="H60" s="113"/>
      <c r="I60" s="113" t="s">
        <v>71</v>
      </c>
      <c r="J60" s="113"/>
      <c r="K60" s="39"/>
      <c r="L60" s="39"/>
      <c r="M60" s="39"/>
      <c r="CB60"/>
    </row>
    <row r="61" spans="1:80" hidden="1" x14ac:dyDescent="0.25">
      <c r="A61" s="51"/>
      <c r="B61" s="5">
        <f t="shared" ref="B61:B68" si="4">B49</f>
        <v>0</v>
      </c>
      <c r="C61" s="120" t="s">
        <v>0</v>
      </c>
      <c r="D61" s="114"/>
      <c r="E61" s="114" t="s">
        <v>92</v>
      </c>
      <c r="F61" s="130"/>
      <c r="G61" s="114" t="s">
        <v>72</v>
      </c>
      <c r="H61" s="130"/>
      <c r="I61" s="114"/>
      <c r="J61" s="130"/>
      <c r="K61" s="30"/>
      <c r="L61" s="30"/>
      <c r="M61" s="30"/>
      <c r="CB61"/>
    </row>
    <row r="62" spans="1:80" hidden="1" x14ac:dyDescent="0.25">
      <c r="A62" s="51"/>
      <c r="B62" s="5">
        <f t="shared" si="4"/>
        <v>0</v>
      </c>
      <c r="C62" s="120" t="s">
        <v>1</v>
      </c>
      <c r="D62" s="114"/>
      <c r="E62" s="114" t="s">
        <v>92</v>
      </c>
      <c r="F62" s="130"/>
      <c r="G62" s="114" t="s">
        <v>72</v>
      </c>
      <c r="H62" s="130"/>
      <c r="I62" s="114"/>
      <c r="J62" s="130"/>
      <c r="K62" s="30"/>
      <c r="L62" s="30"/>
      <c r="M62" s="30"/>
      <c r="CB62"/>
    </row>
    <row r="63" spans="1:80" hidden="1" x14ac:dyDescent="0.25">
      <c r="A63" s="51"/>
      <c r="B63" s="5">
        <f t="shared" si="4"/>
        <v>0</v>
      </c>
      <c r="C63" s="120" t="s">
        <v>2</v>
      </c>
      <c r="D63" s="114"/>
      <c r="E63" s="114" t="s">
        <v>92</v>
      </c>
      <c r="F63" s="130"/>
      <c r="G63" s="114" t="s">
        <v>72</v>
      </c>
      <c r="H63" s="130"/>
      <c r="I63" s="114"/>
      <c r="J63" s="130"/>
      <c r="K63" s="30"/>
      <c r="L63" s="30"/>
      <c r="M63" s="30"/>
      <c r="CB63"/>
    </row>
    <row r="64" spans="1:80" hidden="1" x14ac:dyDescent="0.25">
      <c r="A64" s="51"/>
      <c r="B64" s="5">
        <f t="shared" si="4"/>
        <v>0</v>
      </c>
      <c r="C64" s="120" t="s">
        <v>6</v>
      </c>
      <c r="D64" s="114"/>
      <c r="E64" s="114" t="s">
        <v>92</v>
      </c>
      <c r="F64" s="130"/>
      <c r="G64" s="114" t="s">
        <v>72</v>
      </c>
      <c r="H64" s="130"/>
      <c r="I64" s="114"/>
      <c r="J64" s="130"/>
      <c r="K64" s="30"/>
      <c r="L64" s="30"/>
      <c r="M64" s="30"/>
      <c r="CB64"/>
    </row>
    <row r="65" spans="1:80" hidden="1" x14ac:dyDescent="0.25">
      <c r="A65" s="51"/>
      <c r="B65" s="5">
        <f t="shared" si="4"/>
        <v>0</v>
      </c>
      <c r="C65" s="120" t="s">
        <v>4</v>
      </c>
      <c r="D65" s="114"/>
      <c r="E65" s="114" t="s">
        <v>92</v>
      </c>
      <c r="F65" s="130"/>
      <c r="G65" s="114" t="s">
        <v>72</v>
      </c>
      <c r="H65" s="130"/>
      <c r="I65" s="114"/>
      <c r="J65" s="130"/>
      <c r="K65" s="30"/>
      <c r="L65" s="30"/>
      <c r="M65" s="30"/>
      <c r="CB65"/>
    </row>
    <row r="66" spans="1:80" hidden="1" x14ac:dyDescent="0.25">
      <c r="A66" s="51"/>
      <c r="B66" s="5">
        <f t="shared" si="4"/>
        <v>0</v>
      </c>
      <c r="C66" s="120" t="s">
        <v>5</v>
      </c>
      <c r="D66" s="114"/>
      <c r="E66" s="114" t="s">
        <v>92</v>
      </c>
      <c r="F66" s="130"/>
      <c r="G66" s="114" t="s">
        <v>72</v>
      </c>
      <c r="H66" s="130"/>
      <c r="I66" s="114"/>
      <c r="J66" s="130"/>
      <c r="K66" s="30"/>
      <c r="L66" s="30"/>
      <c r="M66" s="30"/>
      <c r="CB66"/>
    </row>
    <row r="67" spans="1:80" s="1" customFormat="1" hidden="1" x14ac:dyDescent="0.25">
      <c r="A67" s="51"/>
      <c r="B67" s="5">
        <f t="shared" si="4"/>
        <v>0</v>
      </c>
      <c r="C67" s="131" t="s">
        <v>30</v>
      </c>
      <c r="D67" s="132"/>
      <c r="E67" s="114" t="s">
        <v>92</v>
      </c>
      <c r="F67" s="130"/>
      <c r="G67" s="114" t="s">
        <v>72</v>
      </c>
      <c r="H67" s="130"/>
      <c r="I67" s="114" t="s">
        <v>93</v>
      </c>
      <c r="J67" s="130"/>
      <c r="K67" s="30"/>
      <c r="L67" s="30"/>
      <c r="M67" s="30"/>
      <c r="N67" s="93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29"/>
      <c r="AN67" s="29"/>
      <c r="AO67" s="29"/>
      <c r="AP67" s="29"/>
      <c r="AQ67" s="29"/>
      <c r="AR67" s="29"/>
      <c r="AS67" s="29"/>
      <c r="AT67" s="29"/>
      <c r="AU67" s="29"/>
      <c r="AV67" s="29"/>
      <c r="AW67" s="29"/>
      <c r="AX67" s="29"/>
      <c r="AY67" s="29"/>
      <c r="AZ67" s="29"/>
      <c r="BA67" s="29"/>
      <c r="BB67" s="29"/>
      <c r="BC67" s="29"/>
      <c r="BD67" s="29"/>
      <c r="BE67" s="29"/>
      <c r="BF67" s="29"/>
      <c r="BG67" s="29"/>
      <c r="BH67" s="29"/>
      <c r="BI67" s="29"/>
      <c r="BJ67" s="29"/>
      <c r="BK67" s="29"/>
      <c r="BL67" s="29"/>
      <c r="BM67" s="29"/>
      <c r="BN67" s="29"/>
      <c r="BO67" s="29"/>
      <c r="BP67" s="29"/>
      <c r="BQ67" s="29"/>
      <c r="BR67" s="29"/>
      <c r="BS67" s="29"/>
      <c r="BT67" s="29"/>
      <c r="BU67" s="29"/>
      <c r="BV67" s="29"/>
      <c r="BW67" s="29"/>
      <c r="BX67" s="29"/>
      <c r="BY67" s="29"/>
      <c r="BZ67" s="29"/>
      <c r="CA67" s="29"/>
    </row>
    <row r="68" spans="1:80" ht="15.75" hidden="1" thickBot="1" x14ac:dyDescent="0.3">
      <c r="A68" s="51"/>
      <c r="B68" s="5">
        <f t="shared" si="4"/>
        <v>0</v>
      </c>
      <c r="C68" s="120" t="s">
        <v>39</v>
      </c>
      <c r="D68" s="114"/>
      <c r="E68" s="114" t="s">
        <v>92</v>
      </c>
      <c r="F68" s="130"/>
      <c r="G68" s="114" t="s">
        <v>72</v>
      </c>
      <c r="H68" s="130"/>
      <c r="I68" s="114" t="s">
        <v>93</v>
      </c>
      <c r="J68" s="130"/>
      <c r="K68" s="30"/>
      <c r="L68" s="30"/>
      <c r="M68" s="30"/>
      <c r="CB68"/>
    </row>
    <row r="69" spans="1:80" ht="15.75" hidden="1" thickBot="1" x14ac:dyDescent="0.3">
      <c r="A69" s="49" t="s">
        <v>13</v>
      </c>
      <c r="B69" s="10">
        <f>SUM(B61:B68)</f>
        <v>0</v>
      </c>
      <c r="C69" s="11"/>
      <c r="D69" s="12"/>
      <c r="E69" s="12"/>
      <c r="F69" s="12"/>
      <c r="G69" s="12"/>
      <c r="H69" s="12"/>
      <c r="I69" s="12"/>
      <c r="J69" s="12"/>
      <c r="K69" s="37"/>
      <c r="L69" s="37"/>
      <c r="M69" s="37"/>
      <c r="CB69"/>
    </row>
    <row r="70" spans="1:80" hidden="1" x14ac:dyDescent="0.25">
      <c r="E70" s="57"/>
      <c r="CB70"/>
    </row>
    <row r="71" spans="1:80" s="8" customFormat="1" ht="15.95" hidden="1" customHeight="1" thickBot="1" x14ac:dyDescent="0.3">
      <c r="A71" s="112" t="s">
        <v>73</v>
      </c>
      <c r="B71" s="112"/>
      <c r="C71" s="112"/>
      <c r="D71" s="112"/>
      <c r="E71" s="112"/>
      <c r="F71" s="112"/>
      <c r="G71" s="112"/>
      <c r="H71" s="112"/>
      <c r="I71" s="112"/>
      <c r="J71" s="112"/>
      <c r="K71" s="34"/>
      <c r="L71" s="34"/>
      <c r="M71" s="34"/>
      <c r="N71" s="18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</row>
    <row r="72" spans="1:80" hidden="1" x14ac:dyDescent="0.25">
      <c r="A72" s="48" t="s">
        <v>12</v>
      </c>
      <c r="B72" s="62" t="s">
        <v>8</v>
      </c>
      <c r="C72" s="106"/>
      <c r="D72" s="106"/>
      <c r="E72" s="106"/>
      <c r="F72" s="106"/>
      <c r="G72" s="106"/>
      <c r="H72" s="106"/>
      <c r="I72" s="106"/>
      <c r="J72" s="106"/>
      <c r="K72" s="39"/>
      <c r="L72" s="39"/>
      <c r="M72" s="39"/>
      <c r="CB72"/>
    </row>
    <row r="73" spans="1:80" ht="15.75" hidden="1" thickBot="1" x14ac:dyDescent="0.3">
      <c r="A73" s="51"/>
      <c r="B73" s="5">
        <f>B69</f>
        <v>0</v>
      </c>
      <c r="C73" s="121"/>
      <c r="D73" s="122"/>
      <c r="E73" s="12"/>
      <c r="F73" s="12"/>
      <c r="G73" s="12"/>
      <c r="H73" s="12"/>
      <c r="I73" s="12"/>
      <c r="J73" s="12"/>
      <c r="K73" s="37"/>
      <c r="L73" s="37"/>
      <c r="M73" s="37"/>
      <c r="CB73"/>
    </row>
    <row r="74" spans="1:80" ht="15.75" hidden="1" thickBot="1" x14ac:dyDescent="0.3">
      <c r="A74" s="49" t="s">
        <v>13</v>
      </c>
      <c r="B74" s="10">
        <f>SUM(B73:B73)</f>
        <v>0</v>
      </c>
      <c r="C74" s="11"/>
      <c r="D74" s="12"/>
      <c r="E74" s="12"/>
      <c r="F74" s="12"/>
      <c r="G74" s="12"/>
      <c r="H74" s="12"/>
      <c r="I74" s="12"/>
      <c r="J74" s="12"/>
      <c r="K74" s="37"/>
      <c r="L74" s="37"/>
      <c r="M74" s="37"/>
      <c r="CB74"/>
    </row>
    <row r="75" spans="1:80" hidden="1" x14ac:dyDescent="0.25">
      <c r="A75" s="50"/>
      <c r="B75" s="16"/>
      <c r="C75" s="11"/>
      <c r="D75" s="12"/>
      <c r="E75" s="12"/>
      <c r="F75" s="12"/>
      <c r="G75" s="12"/>
      <c r="H75" s="12"/>
      <c r="I75" s="12"/>
      <c r="J75" s="12"/>
      <c r="K75" s="37"/>
      <c r="L75" s="37"/>
      <c r="M75" s="37"/>
      <c r="CB75"/>
    </row>
    <row r="76" spans="1:80" s="8" customFormat="1" ht="15.95" customHeight="1" thickBot="1" x14ac:dyDescent="0.3">
      <c r="A76" s="112" t="s">
        <v>174</v>
      </c>
      <c r="B76" s="112"/>
      <c r="C76" s="146"/>
      <c r="D76" s="146"/>
      <c r="E76" s="146"/>
      <c r="F76" s="146"/>
      <c r="G76" s="146"/>
      <c r="H76" s="146"/>
      <c r="I76" s="146"/>
      <c r="J76" s="146"/>
      <c r="K76" s="34"/>
      <c r="L76" s="34"/>
      <c r="M76" s="34"/>
      <c r="N76" s="18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</row>
    <row r="77" spans="1:80" x14ac:dyDescent="0.25">
      <c r="A77" s="48" t="s">
        <v>12</v>
      </c>
      <c r="B77" s="62" t="s">
        <v>8</v>
      </c>
      <c r="C77" s="15" t="s">
        <v>0</v>
      </c>
      <c r="D77" s="24" t="s">
        <v>1</v>
      </c>
      <c r="E77" s="24" t="s">
        <v>2</v>
      </c>
      <c r="F77" s="24" t="s">
        <v>3</v>
      </c>
      <c r="G77" s="24" t="s">
        <v>4</v>
      </c>
      <c r="H77" s="24" t="s">
        <v>5</v>
      </c>
      <c r="I77" s="24" t="s">
        <v>30</v>
      </c>
      <c r="J77" s="24" t="s">
        <v>39</v>
      </c>
      <c r="K77" s="39"/>
      <c r="L77" s="39"/>
      <c r="M77" s="39"/>
    </row>
    <row r="78" spans="1:80" ht="15.75" thickBot="1" x14ac:dyDescent="0.3">
      <c r="A78" s="51" t="s">
        <v>160</v>
      </c>
      <c r="B78" s="5">
        <f>SUM(N78:CX78)</f>
        <v>20</v>
      </c>
      <c r="C78" s="23" t="s">
        <v>105</v>
      </c>
      <c r="D78" s="25" t="s">
        <v>105</v>
      </c>
      <c r="E78" s="25" t="s">
        <v>105</v>
      </c>
      <c r="F78" s="25"/>
      <c r="G78" s="25"/>
      <c r="H78" s="25"/>
      <c r="I78" s="25"/>
      <c r="J78" s="25"/>
      <c r="K78" s="37"/>
      <c r="L78" s="37"/>
      <c r="M78" s="37"/>
      <c r="W78" s="101">
        <v>1</v>
      </c>
      <c r="Y78" s="101">
        <v>1</v>
      </c>
      <c r="AA78" s="101">
        <v>1</v>
      </c>
      <c r="AC78" s="101">
        <v>1</v>
      </c>
      <c r="AE78" s="101">
        <v>1</v>
      </c>
      <c r="AG78" s="101">
        <v>1</v>
      </c>
      <c r="AI78" s="101">
        <v>1</v>
      </c>
      <c r="AK78" s="101">
        <v>1</v>
      </c>
      <c r="AM78" s="101">
        <v>1</v>
      </c>
      <c r="AO78" s="101">
        <v>1</v>
      </c>
      <c r="AQ78" s="101">
        <v>1</v>
      </c>
      <c r="AS78" s="101">
        <v>1</v>
      </c>
      <c r="AU78" s="101">
        <v>1</v>
      </c>
      <c r="AW78" s="101">
        <v>1</v>
      </c>
      <c r="AY78" s="101">
        <v>1</v>
      </c>
      <c r="BA78" s="101">
        <v>1</v>
      </c>
      <c r="BC78" s="101">
        <v>1</v>
      </c>
      <c r="BE78" s="101">
        <v>1</v>
      </c>
      <c r="BF78" s="101">
        <v>1</v>
      </c>
      <c r="BL78" s="101">
        <v>1</v>
      </c>
    </row>
    <row r="79" spans="1:80" hidden="1" x14ac:dyDescent="0.25">
      <c r="A79" s="51"/>
      <c r="B79" s="5">
        <f>SUM(N79:AX79)</f>
        <v>0</v>
      </c>
      <c r="C79" s="23"/>
      <c r="D79" s="25"/>
      <c r="E79" s="25"/>
      <c r="F79" s="25"/>
      <c r="G79" s="25"/>
      <c r="H79" s="25"/>
      <c r="I79" s="25"/>
      <c r="J79" s="25"/>
      <c r="K79" s="37"/>
      <c r="L79" s="37"/>
      <c r="M79" s="37"/>
    </row>
    <row r="80" spans="1:80" hidden="1" x14ac:dyDescent="0.25">
      <c r="A80" s="51"/>
      <c r="B80" s="5">
        <f>SUM(N80:AX80)</f>
        <v>0</v>
      </c>
      <c r="C80" s="23"/>
      <c r="D80" s="25"/>
      <c r="E80" s="25"/>
      <c r="F80" s="25"/>
      <c r="G80" s="25"/>
      <c r="H80" s="25"/>
      <c r="I80" s="25"/>
      <c r="J80" s="25"/>
      <c r="K80" s="37"/>
      <c r="L80" s="37"/>
      <c r="M80" s="37"/>
    </row>
    <row r="81" spans="1:80" hidden="1" x14ac:dyDescent="0.25">
      <c r="A81" s="51"/>
      <c r="B81" s="5">
        <f>SUM(N81:AX81)</f>
        <v>0</v>
      </c>
      <c r="C81" s="23"/>
      <c r="D81" s="25"/>
      <c r="E81" s="25"/>
      <c r="F81" s="25"/>
      <c r="G81" s="25"/>
      <c r="H81" s="25"/>
      <c r="I81" s="25"/>
      <c r="J81" s="25"/>
      <c r="K81" s="37"/>
      <c r="L81" s="37"/>
      <c r="M81" s="37"/>
    </row>
    <row r="82" spans="1:80" ht="15.75" hidden="1" thickBot="1" x14ac:dyDescent="0.3">
      <c r="A82" s="51"/>
      <c r="B82" s="5">
        <f>SUM(N82:AX82)</f>
        <v>0</v>
      </c>
      <c r="C82" s="23"/>
      <c r="D82" s="25"/>
      <c r="E82" s="25"/>
      <c r="F82" s="25"/>
      <c r="G82" s="25"/>
      <c r="H82" s="25"/>
      <c r="I82" s="25"/>
      <c r="J82" s="25"/>
      <c r="K82" s="37"/>
      <c r="L82" s="37"/>
      <c r="M82" s="37"/>
    </row>
    <row r="83" spans="1:80" ht="15.75" thickBot="1" x14ac:dyDescent="0.3">
      <c r="A83" s="49" t="s">
        <v>13</v>
      </c>
      <c r="B83" s="10">
        <f>SUM(B78:B82)</f>
        <v>20</v>
      </c>
      <c r="C83" s="11"/>
      <c r="D83" s="12"/>
      <c r="E83" s="12"/>
      <c r="F83" s="12"/>
      <c r="G83" s="12"/>
      <c r="H83" s="12"/>
      <c r="I83" s="12"/>
      <c r="J83" s="12"/>
      <c r="K83" s="37"/>
      <c r="L83" s="37"/>
      <c r="M83" s="37"/>
    </row>
    <row r="85" spans="1:80" s="8" customFormat="1" ht="15.95" customHeight="1" thickBot="1" x14ac:dyDescent="0.3">
      <c r="A85" s="147" t="s">
        <v>96</v>
      </c>
      <c r="B85" s="147"/>
      <c r="C85" s="147"/>
      <c r="D85" s="147"/>
      <c r="E85" s="147"/>
      <c r="F85" s="147"/>
      <c r="G85" s="147"/>
      <c r="H85" s="147"/>
      <c r="I85" s="147"/>
      <c r="J85" s="147"/>
      <c r="K85" s="34"/>
      <c r="L85" s="34"/>
      <c r="M85" s="34"/>
      <c r="N85" s="18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</row>
    <row r="86" spans="1:80" x14ac:dyDescent="0.25">
      <c r="A86" s="48" t="s">
        <v>12</v>
      </c>
      <c r="B86" s="62" t="s">
        <v>8</v>
      </c>
      <c r="C86" s="118" t="s">
        <v>11</v>
      </c>
      <c r="D86" s="113"/>
      <c r="E86" s="113"/>
      <c r="F86" s="113"/>
      <c r="G86" s="113"/>
      <c r="H86" s="113"/>
      <c r="I86" s="113"/>
      <c r="J86" s="113"/>
      <c r="K86" s="38"/>
      <c r="L86" s="39"/>
      <c r="M86" s="39"/>
    </row>
    <row r="87" spans="1:80" ht="15.75" thickBot="1" x14ac:dyDescent="0.3">
      <c r="A87" s="51"/>
      <c r="B87" s="5">
        <f>SUM(N87:AX87)</f>
        <v>2</v>
      </c>
      <c r="C87" s="120" t="s">
        <v>95</v>
      </c>
      <c r="D87" s="114"/>
      <c r="E87" s="114"/>
      <c r="F87" s="114"/>
      <c r="G87" s="114"/>
      <c r="H87" s="114"/>
      <c r="I87" s="114"/>
      <c r="J87" s="114"/>
      <c r="K87" s="38"/>
      <c r="L87" s="39"/>
      <c r="M87" s="39"/>
      <c r="N87" s="96">
        <v>1</v>
      </c>
      <c r="R87" s="101">
        <v>1</v>
      </c>
    </row>
    <row r="88" spans="1:80" ht="15.75" hidden="1" thickBot="1" x14ac:dyDescent="0.3">
      <c r="A88" s="51"/>
      <c r="B88" s="5">
        <f>SUM(N88:AX88)</f>
        <v>0</v>
      </c>
      <c r="C88" s="120"/>
      <c r="D88" s="114"/>
      <c r="E88" s="114"/>
      <c r="F88" s="114"/>
      <c r="G88" s="114"/>
      <c r="H88" s="114"/>
      <c r="I88" s="114"/>
      <c r="J88" s="114"/>
      <c r="K88" s="42"/>
      <c r="L88" s="37"/>
      <c r="M88" s="37"/>
    </row>
    <row r="89" spans="1:80" ht="15.75" thickBot="1" x14ac:dyDescent="0.3">
      <c r="A89" s="49" t="s">
        <v>13</v>
      </c>
      <c r="B89" s="10">
        <f>SUM(B87:B88)</f>
        <v>2</v>
      </c>
      <c r="C89" s="11"/>
      <c r="D89" s="12"/>
      <c r="E89" s="12"/>
      <c r="F89" s="12"/>
      <c r="G89" s="12"/>
      <c r="H89" s="12"/>
      <c r="I89" s="12"/>
      <c r="J89" s="12"/>
      <c r="K89" s="37"/>
      <c r="L89" s="37"/>
      <c r="M89" s="37"/>
    </row>
    <row r="90" spans="1:80" x14ac:dyDescent="0.25">
      <c r="A90" s="52"/>
      <c r="B90" s="89"/>
      <c r="C90" s="90"/>
      <c r="D90" s="90"/>
      <c r="E90" s="90"/>
      <c r="F90" s="90"/>
      <c r="G90" s="90"/>
      <c r="H90" s="91"/>
      <c r="I90" s="92"/>
      <c r="J90" s="92"/>
      <c r="K90" s="22"/>
      <c r="L90" s="33"/>
      <c r="M90" s="33"/>
    </row>
    <row r="91" spans="1:80" s="8" customFormat="1" ht="15.95" customHeight="1" thickBot="1" x14ac:dyDescent="0.3">
      <c r="A91" s="112" t="s">
        <v>173</v>
      </c>
      <c r="B91" s="112"/>
      <c r="C91" s="112"/>
      <c r="D91" s="112"/>
      <c r="E91" s="112"/>
      <c r="F91" s="112"/>
      <c r="G91" s="112"/>
      <c r="H91" s="112"/>
      <c r="I91" s="112"/>
      <c r="J91" s="112"/>
      <c r="K91" s="34"/>
      <c r="L91" s="34"/>
      <c r="M91" s="34"/>
      <c r="N91" s="18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</row>
    <row r="92" spans="1:80" ht="18.75" x14ac:dyDescent="0.25">
      <c r="A92" s="48" t="s">
        <v>12</v>
      </c>
      <c r="B92" s="62" t="s">
        <v>8</v>
      </c>
      <c r="C92" s="15" t="s">
        <v>0</v>
      </c>
      <c r="D92" s="24" t="s">
        <v>1</v>
      </c>
      <c r="E92" s="24" t="s">
        <v>2</v>
      </c>
      <c r="F92" s="24" t="s">
        <v>3</v>
      </c>
      <c r="G92" s="24" t="s">
        <v>4</v>
      </c>
      <c r="H92" s="24" t="s">
        <v>5</v>
      </c>
      <c r="I92" s="24" t="s">
        <v>30</v>
      </c>
      <c r="J92" s="24" t="s">
        <v>39</v>
      </c>
      <c r="K92" s="35">
        <v>100</v>
      </c>
      <c r="L92" s="35" t="s">
        <v>46</v>
      </c>
      <c r="M92" s="35" t="s">
        <v>2</v>
      </c>
    </row>
    <row r="93" spans="1:80" x14ac:dyDescent="0.25">
      <c r="A93" s="88" t="s">
        <v>108</v>
      </c>
      <c r="B93" s="5">
        <f>SUM(N93:XM93)</f>
        <v>1</v>
      </c>
      <c r="C93" s="60" t="s">
        <v>15</v>
      </c>
      <c r="D93" s="60"/>
      <c r="E93" s="61" t="s">
        <v>23</v>
      </c>
      <c r="F93" s="60"/>
      <c r="G93" s="60"/>
      <c r="H93" s="61"/>
      <c r="I93" s="61"/>
      <c r="J93" s="61"/>
      <c r="K93" s="36">
        <f t="shared" ref="K93:K95" si="5">(B93*COUNTA(C93,D93,F93,H93))</f>
        <v>1</v>
      </c>
      <c r="L93" s="36">
        <f t="shared" ref="L93:L95" si="6">(B93*COUNTA(I93,J93))</f>
        <v>0</v>
      </c>
      <c r="M93" s="36">
        <f t="shared" ref="M93:M95" si="7">(B93*COUNTA(E93,G93))</f>
        <v>1</v>
      </c>
      <c r="U93" s="101">
        <v>1</v>
      </c>
    </row>
    <row r="94" spans="1:80" ht="15.75" thickBot="1" x14ac:dyDescent="0.3">
      <c r="A94" s="51" t="s">
        <v>180</v>
      </c>
      <c r="B94" s="5">
        <f>SUM(N94:XM94)</f>
        <v>20</v>
      </c>
      <c r="C94" s="60" t="s">
        <v>23</v>
      </c>
      <c r="D94" s="61" t="s">
        <v>23</v>
      </c>
      <c r="E94" s="61" t="s">
        <v>22</v>
      </c>
      <c r="F94" s="61"/>
      <c r="G94" s="61"/>
      <c r="H94" s="61"/>
      <c r="I94" s="61"/>
      <c r="J94" s="61"/>
      <c r="K94" s="36">
        <f t="shared" si="5"/>
        <v>40</v>
      </c>
      <c r="L94" s="36">
        <f t="shared" si="6"/>
        <v>0</v>
      </c>
      <c r="M94" s="36">
        <f t="shared" si="7"/>
        <v>20</v>
      </c>
      <c r="W94" s="101">
        <v>1</v>
      </c>
      <c r="Y94" s="101">
        <v>1</v>
      </c>
      <c r="AA94" s="101">
        <v>1</v>
      </c>
      <c r="AC94" s="101">
        <v>1</v>
      </c>
      <c r="AE94" s="101">
        <v>1</v>
      </c>
      <c r="AG94" s="101">
        <v>1</v>
      </c>
      <c r="AI94" s="101">
        <v>1</v>
      </c>
      <c r="AK94" s="101">
        <v>1</v>
      </c>
      <c r="AM94" s="101">
        <v>1</v>
      </c>
      <c r="AO94" s="101">
        <v>1</v>
      </c>
      <c r="AQ94" s="101">
        <v>1</v>
      </c>
      <c r="AS94" s="101">
        <v>1</v>
      </c>
      <c r="AU94" s="101">
        <v>1</v>
      </c>
      <c r="AW94" s="101">
        <v>1</v>
      </c>
      <c r="AY94" s="101">
        <v>1</v>
      </c>
      <c r="BA94" s="101">
        <v>1</v>
      </c>
      <c r="BC94" s="101">
        <v>1</v>
      </c>
      <c r="BE94" s="101">
        <v>1</v>
      </c>
      <c r="BF94" s="101">
        <v>1</v>
      </c>
      <c r="BL94" s="101">
        <v>1</v>
      </c>
    </row>
    <row r="95" spans="1:80" hidden="1" x14ac:dyDescent="0.25">
      <c r="A95" s="88"/>
      <c r="B95" s="5">
        <f t="shared" ref="B95:B98" si="8">SUM(N95:BM95)</f>
        <v>0</v>
      </c>
      <c r="C95" s="60"/>
      <c r="D95" s="61"/>
      <c r="E95" s="61"/>
      <c r="F95" s="61"/>
      <c r="G95" s="61"/>
      <c r="H95" s="61"/>
      <c r="I95" s="61"/>
      <c r="J95" s="61"/>
      <c r="K95" s="36">
        <f t="shared" si="5"/>
        <v>0</v>
      </c>
      <c r="L95" s="36">
        <f t="shared" si="6"/>
        <v>0</v>
      </c>
      <c r="M95" s="36">
        <f t="shared" si="7"/>
        <v>0</v>
      </c>
    </row>
    <row r="96" spans="1:80" hidden="1" x14ac:dyDescent="0.25">
      <c r="A96" s="9"/>
      <c r="B96" s="5">
        <f t="shared" si="8"/>
        <v>0</v>
      </c>
      <c r="C96" s="60"/>
      <c r="D96" s="61"/>
      <c r="E96" s="61"/>
      <c r="F96" s="61"/>
      <c r="G96" s="61"/>
      <c r="H96" s="61"/>
      <c r="I96" s="61"/>
      <c r="J96" s="61"/>
      <c r="K96" s="36">
        <f t="shared" ref="K96" si="9">(B96*COUNTA(C96,D96,F96,H96))</f>
        <v>0</v>
      </c>
      <c r="L96" s="36">
        <f t="shared" ref="L96" si="10">(B96*COUNTA(I96,J96))</f>
        <v>0</v>
      </c>
      <c r="M96" s="36">
        <f t="shared" ref="M96" si="11">(B96*COUNTA(E96,G96))</f>
        <v>0</v>
      </c>
    </row>
    <row r="97" spans="1:80" hidden="1" x14ac:dyDescent="0.25">
      <c r="A97" s="9"/>
      <c r="B97" s="5">
        <f t="shared" si="8"/>
        <v>0</v>
      </c>
      <c r="C97" s="60"/>
      <c r="D97" s="61"/>
      <c r="E97" s="61"/>
      <c r="F97" s="61"/>
      <c r="G97" s="61"/>
      <c r="H97" s="61"/>
      <c r="I97" s="61"/>
      <c r="J97" s="61"/>
      <c r="K97" s="36">
        <f t="shared" ref="K97" si="12">(B97*COUNTA(C97,D97,F97,H97))</f>
        <v>0</v>
      </c>
      <c r="L97" s="36">
        <f t="shared" ref="L97" si="13">(B97*COUNTA(I97,J97))</f>
        <v>0</v>
      </c>
      <c r="M97" s="36">
        <f t="shared" ref="M97" si="14">(B97*COUNTA(E97,G97))</f>
        <v>0</v>
      </c>
    </row>
    <row r="98" spans="1:80" ht="15.75" hidden="1" thickBot="1" x14ac:dyDescent="0.3">
      <c r="A98" s="9"/>
      <c r="B98" s="5">
        <f t="shared" si="8"/>
        <v>0</v>
      </c>
      <c r="C98" s="60"/>
      <c r="D98" s="61"/>
      <c r="E98" s="61"/>
      <c r="F98" s="61"/>
      <c r="G98" s="61"/>
      <c r="H98" s="61"/>
      <c r="I98" s="61"/>
      <c r="J98" s="61"/>
      <c r="K98" s="36">
        <f t="shared" ref="K98" si="15">(B98*COUNTA(C98,D98,F98,H98))</f>
        <v>0</v>
      </c>
      <c r="L98" s="36">
        <f t="shared" ref="L98" si="16">(B98*COUNTA(I98,J98))</f>
        <v>0</v>
      </c>
      <c r="M98" s="36">
        <f t="shared" ref="M98" si="17">(B98*COUNTA(E98,G98))</f>
        <v>0</v>
      </c>
    </row>
    <row r="99" spans="1:80" ht="15.75" thickBot="1" x14ac:dyDescent="0.3">
      <c r="A99" s="49" t="s">
        <v>13</v>
      </c>
      <c r="B99" s="10">
        <f>SUM(B93:B98)</f>
        <v>21</v>
      </c>
      <c r="C99" s="11"/>
      <c r="D99" s="12"/>
      <c r="E99" s="12"/>
      <c r="F99" s="12"/>
      <c r="G99" s="12"/>
      <c r="H99" s="12"/>
      <c r="I99" s="12"/>
      <c r="J99" s="12"/>
      <c r="K99" s="37"/>
      <c r="L99" s="37"/>
      <c r="M99" s="37"/>
    </row>
    <row r="100" spans="1:80" x14ac:dyDescent="0.25">
      <c r="A100" s="50"/>
      <c r="B100" s="16"/>
      <c r="C100" s="11"/>
      <c r="D100" s="12"/>
      <c r="E100" s="12"/>
      <c r="F100" s="12"/>
      <c r="G100" s="12"/>
      <c r="H100" s="12"/>
      <c r="I100" s="12"/>
      <c r="J100" s="12"/>
      <c r="K100" s="37"/>
      <c r="L100" s="37"/>
      <c r="M100" s="37"/>
    </row>
    <row r="101" spans="1:80" s="8" customFormat="1" ht="15.95" customHeight="1" thickBot="1" x14ac:dyDescent="0.3">
      <c r="A101" s="112" t="s">
        <v>62</v>
      </c>
      <c r="B101" s="112"/>
      <c r="C101" s="112"/>
      <c r="D101" s="112"/>
      <c r="E101" s="112"/>
      <c r="F101" s="112"/>
      <c r="G101" s="112"/>
      <c r="H101" s="112"/>
      <c r="I101" s="112"/>
      <c r="J101" s="112"/>
      <c r="K101" s="34"/>
      <c r="L101" s="34"/>
      <c r="M101" s="34"/>
      <c r="N101" s="18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</row>
    <row r="102" spans="1:80" x14ac:dyDescent="0.25">
      <c r="A102" s="48" t="s">
        <v>12</v>
      </c>
      <c r="B102" s="62" t="s">
        <v>8</v>
      </c>
      <c r="C102" s="134" t="s">
        <v>35</v>
      </c>
      <c r="D102" s="115"/>
      <c r="E102" s="118"/>
      <c r="F102" s="126" t="s">
        <v>40</v>
      </c>
      <c r="G102" s="115"/>
      <c r="H102" s="115"/>
      <c r="I102" s="115"/>
      <c r="J102" s="118"/>
      <c r="K102" s="38"/>
      <c r="L102" s="39"/>
      <c r="M102" s="39"/>
    </row>
    <row r="103" spans="1:80" ht="15" customHeight="1" x14ac:dyDescent="0.25">
      <c r="A103" s="9"/>
      <c r="B103" s="5">
        <f>SUM(K93:K98)+SUM(N103:AX103)</f>
        <v>41</v>
      </c>
      <c r="C103" s="123" t="s">
        <v>36</v>
      </c>
      <c r="D103" s="124"/>
      <c r="E103" s="125"/>
      <c r="F103" s="127" t="s">
        <v>41</v>
      </c>
      <c r="G103" s="128"/>
      <c r="H103" s="128"/>
      <c r="I103" s="128"/>
      <c r="J103" s="129"/>
      <c r="K103" s="40"/>
      <c r="L103" s="41"/>
      <c r="M103" s="41"/>
    </row>
    <row r="104" spans="1:80" ht="15" hidden="1" customHeight="1" x14ac:dyDescent="0.25">
      <c r="A104" s="9"/>
      <c r="B104" s="5">
        <f>SUM(L93:L98)+SUM(N104:AX104)</f>
        <v>0</v>
      </c>
      <c r="C104" s="123" t="s">
        <v>37</v>
      </c>
      <c r="D104" s="124"/>
      <c r="E104" s="125"/>
      <c r="F104" s="127" t="s">
        <v>42</v>
      </c>
      <c r="G104" s="128"/>
      <c r="H104" s="128"/>
      <c r="I104" s="128"/>
      <c r="J104" s="129"/>
      <c r="K104" s="40"/>
      <c r="L104" s="41"/>
      <c r="M104" s="41"/>
    </row>
    <row r="105" spans="1:80" ht="15.75" customHeight="1" thickBot="1" x14ac:dyDescent="0.3">
      <c r="A105" s="9"/>
      <c r="B105" s="5">
        <f>SUM(M93:M98)+SUM(N105:AX105)</f>
        <v>21</v>
      </c>
      <c r="C105" s="123" t="s">
        <v>38</v>
      </c>
      <c r="D105" s="124"/>
      <c r="E105" s="125"/>
      <c r="F105" s="127" t="s">
        <v>43</v>
      </c>
      <c r="G105" s="128"/>
      <c r="H105" s="128"/>
      <c r="I105" s="128"/>
      <c r="J105" s="129"/>
      <c r="K105" s="40"/>
      <c r="L105" s="41"/>
      <c r="M105" s="41"/>
    </row>
    <row r="106" spans="1:80" ht="15.75" thickBot="1" x14ac:dyDescent="0.3">
      <c r="A106" s="49" t="s">
        <v>13</v>
      </c>
      <c r="B106" s="10">
        <f>SUM(B103:B105)</f>
        <v>62</v>
      </c>
      <c r="C106" s="11"/>
      <c r="D106" s="12"/>
      <c r="E106" s="12"/>
      <c r="F106" s="12"/>
      <c r="G106" s="12"/>
      <c r="H106" s="12"/>
      <c r="I106" s="12"/>
      <c r="J106" s="12"/>
      <c r="K106" s="37"/>
      <c r="L106" s="37"/>
      <c r="M106" s="37"/>
    </row>
    <row r="107" spans="1:80" ht="15" customHeight="1" x14ac:dyDescent="0.25">
      <c r="A107" s="133" t="s">
        <v>45</v>
      </c>
      <c r="B107" s="133"/>
      <c r="C107" s="133"/>
      <c r="D107" s="133"/>
      <c r="E107" s="133"/>
      <c r="F107" s="133"/>
      <c r="G107" s="133"/>
      <c r="H107" s="133"/>
      <c r="I107" s="133"/>
      <c r="J107" s="133"/>
      <c r="K107" s="37"/>
      <c r="L107" s="37"/>
      <c r="M107" s="37"/>
    </row>
    <row r="108" spans="1:80" x14ac:dyDescent="0.25">
      <c r="A108" s="133"/>
      <c r="B108" s="133"/>
      <c r="C108" s="133"/>
      <c r="D108" s="133"/>
      <c r="E108" s="133"/>
      <c r="F108" s="133"/>
      <c r="G108" s="133"/>
      <c r="H108" s="133"/>
      <c r="I108" s="133"/>
      <c r="J108" s="133"/>
      <c r="K108" s="37"/>
      <c r="L108" s="37"/>
      <c r="M108" s="37"/>
    </row>
    <row r="109" spans="1:80" x14ac:dyDescent="0.25">
      <c r="A109" s="94"/>
      <c r="B109" s="94"/>
      <c r="C109" s="94"/>
      <c r="D109" s="94"/>
      <c r="E109" s="94"/>
      <c r="F109" s="94"/>
      <c r="G109" s="94"/>
      <c r="H109" s="94"/>
      <c r="I109" s="94"/>
      <c r="J109" s="94"/>
      <c r="K109" s="37"/>
      <c r="L109" s="37"/>
      <c r="M109" s="37"/>
    </row>
    <row r="110" spans="1:80" s="8" customFormat="1" ht="15.95" customHeight="1" thickBot="1" x14ac:dyDescent="0.3">
      <c r="A110" s="112" t="s">
        <v>31</v>
      </c>
      <c r="B110" s="112"/>
      <c r="C110" s="112"/>
      <c r="D110" s="112"/>
      <c r="E110" s="112"/>
      <c r="F110" s="112"/>
      <c r="G110" s="112"/>
      <c r="H110" s="112"/>
      <c r="I110" s="112"/>
      <c r="J110" s="112"/>
      <c r="K110" s="34"/>
      <c r="L110" s="34"/>
      <c r="M110" s="34"/>
      <c r="N110" s="18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</row>
    <row r="111" spans="1:80" x14ac:dyDescent="0.25">
      <c r="A111" s="48" t="s">
        <v>12</v>
      </c>
      <c r="B111" s="62" t="s">
        <v>8</v>
      </c>
      <c r="C111" s="15" t="s">
        <v>10</v>
      </c>
      <c r="D111" s="14"/>
      <c r="E111" s="7"/>
      <c r="F111" s="26"/>
      <c r="G111" s="26"/>
      <c r="H111" s="26"/>
      <c r="I111" s="26"/>
      <c r="J111" s="26"/>
      <c r="K111" s="34"/>
      <c r="L111" s="34"/>
      <c r="M111" s="34"/>
    </row>
    <row r="112" spans="1:80" x14ac:dyDescent="0.25">
      <c r="A112" s="51"/>
      <c r="B112" s="5">
        <f>SUM(N112:CX112)</f>
        <v>54</v>
      </c>
      <c r="C112" s="23" t="s">
        <v>15</v>
      </c>
      <c r="D112" s="12"/>
      <c r="E112" s="7"/>
      <c r="F112" s="12"/>
      <c r="G112" s="12"/>
      <c r="H112" s="12"/>
      <c r="I112" s="12"/>
      <c r="J112" s="12"/>
      <c r="K112" s="37"/>
      <c r="L112" s="37"/>
      <c r="M112" s="37"/>
      <c r="W112" s="101">
        <v>2</v>
      </c>
      <c r="Y112" s="101">
        <v>2</v>
      </c>
      <c r="AA112" s="101">
        <v>4</v>
      </c>
      <c r="AC112" s="101">
        <v>2</v>
      </c>
      <c r="AE112" s="101">
        <v>2</v>
      </c>
      <c r="AG112" s="97">
        <v>4</v>
      </c>
      <c r="AI112" s="101">
        <v>2</v>
      </c>
      <c r="AM112" s="101">
        <v>4</v>
      </c>
      <c r="AO112" s="101">
        <v>2</v>
      </c>
      <c r="AQ112" s="101">
        <v>2</v>
      </c>
      <c r="AS112" s="101">
        <v>4</v>
      </c>
      <c r="AU112" s="101">
        <v>2</v>
      </c>
      <c r="AW112" s="101">
        <v>2</v>
      </c>
      <c r="AY112" s="101">
        <v>4</v>
      </c>
      <c r="BA112" s="101">
        <v>4</v>
      </c>
      <c r="BC112" s="101">
        <v>2</v>
      </c>
      <c r="BE112" s="101">
        <v>4</v>
      </c>
      <c r="BF112" s="101">
        <v>2</v>
      </c>
      <c r="BL112" s="101">
        <v>4</v>
      </c>
    </row>
    <row r="113" spans="1:80" x14ac:dyDescent="0.25">
      <c r="A113" s="51"/>
      <c r="B113" s="98">
        <f t="shared" ref="B113:B120" si="18">SUM(N113:CX113)</f>
        <v>120</v>
      </c>
      <c r="C113" s="23" t="s">
        <v>23</v>
      </c>
      <c r="D113" s="12"/>
      <c r="E113" s="7"/>
      <c r="F113" s="12"/>
      <c r="G113" s="12"/>
      <c r="H113" s="12"/>
      <c r="I113" s="12"/>
      <c r="J113" s="12"/>
      <c r="K113" s="37"/>
      <c r="L113" s="37"/>
      <c r="M113" s="37"/>
      <c r="O113" s="28">
        <v>0</v>
      </c>
      <c r="S113" s="101">
        <v>3</v>
      </c>
      <c r="U113" s="101">
        <v>1</v>
      </c>
      <c r="W113" s="101">
        <v>3</v>
      </c>
      <c r="Y113" s="101">
        <v>5</v>
      </c>
      <c r="AA113" s="101">
        <v>8</v>
      </c>
      <c r="AC113" s="101">
        <v>5</v>
      </c>
      <c r="AE113" s="101">
        <v>4</v>
      </c>
      <c r="AG113" s="97">
        <v>8</v>
      </c>
      <c r="AI113" s="101">
        <v>5</v>
      </c>
      <c r="AK113" s="101">
        <v>6</v>
      </c>
      <c r="AM113" s="97">
        <v>8</v>
      </c>
      <c r="AO113" s="101">
        <v>5</v>
      </c>
      <c r="AQ113" s="101">
        <v>5</v>
      </c>
      <c r="AS113" s="101">
        <v>8</v>
      </c>
      <c r="AU113" s="101">
        <v>5</v>
      </c>
      <c r="AW113" s="101">
        <v>5</v>
      </c>
      <c r="AY113" s="101">
        <v>8</v>
      </c>
      <c r="BA113" s="101">
        <v>3</v>
      </c>
      <c r="BC113" s="101">
        <v>5</v>
      </c>
      <c r="BE113" s="101">
        <v>8</v>
      </c>
      <c r="BF113" s="101">
        <v>4</v>
      </c>
      <c r="BL113" s="101">
        <v>8</v>
      </c>
    </row>
    <row r="114" spans="1:80" x14ac:dyDescent="0.25">
      <c r="A114" s="51"/>
      <c r="B114" s="98">
        <f t="shared" si="18"/>
        <v>58</v>
      </c>
      <c r="C114" s="23" t="s">
        <v>22</v>
      </c>
      <c r="D114" s="12"/>
      <c r="E114" s="7"/>
      <c r="F114" s="12"/>
      <c r="G114" s="12"/>
      <c r="H114" s="12"/>
      <c r="I114" s="12"/>
      <c r="J114" s="12"/>
      <c r="K114" s="37"/>
      <c r="L114" s="37"/>
      <c r="M114" s="37"/>
      <c r="O114" s="97">
        <v>1</v>
      </c>
      <c r="P114" s="97">
        <v>0</v>
      </c>
      <c r="U114" s="101">
        <v>2</v>
      </c>
      <c r="W114" s="101">
        <v>1</v>
      </c>
      <c r="Y114" s="101">
        <v>2</v>
      </c>
      <c r="AA114" s="101">
        <v>3</v>
      </c>
      <c r="AC114" s="101">
        <v>2</v>
      </c>
      <c r="AE114" s="101">
        <v>3</v>
      </c>
      <c r="AG114" s="97">
        <v>3</v>
      </c>
      <c r="AI114" s="101">
        <v>2</v>
      </c>
      <c r="AK114" s="101">
        <v>3</v>
      </c>
      <c r="AM114" s="100">
        <v>3</v>
      </c>
      <c r="AO114" s="101">
        <v>2</v>
      </c>
      <c r="AQ114" s="101">
        <v>2</v>
      </c>
      <c r="AS114" s="101">
        <v>3</v>
      </c>
      <c r="AU114" s="101">
        <v>2</v>
      </c>
      <c r="AW114" s="101">
        <v>2</v>
      </c>
      <c r="AY114" s="101">
        <v>3</v>
      </c>
      <c r="BA114" s="101">
        <v>2</v>
      </c>
      <c r="BC114" s="97">
        <v>3</v>
      </c>
      <c r="BE114" s="101">
        <v>3</v>
      </c>
      <c r="BF114" s="101">
        <v>3</v>
      </c>
      <c r="BG114" s="101">
        <v>1</v>
      </c>
      <c r="BH114" s="97">
        <v>0</v>
      </c>
      <c r="BI114" s="101">
        <v>1</v>
      </c>
      <c r="BL114" s="101">
        <v>6</v>
      </c>
    </row>
    <row r="115" spans="1:80" x14ac:dyDescent="0.25">
      <c r="A115" s="51"/>
      <c r="B115" s="98">
        <f t="shared" si="18"/>
        <v>14</v>
      </c>
      <c r="C115" s="23" t="s">
        <v>21</v>
      </c>
      <c r="D115" s="12"/>
      <c r="E115" s="7"/>
      <c r="F115" s="12"/>
      <c r="G115" s="12"/>
      <c r="H115" s="12"/>
      <c r="I115" s="12"/>
      <c r="J115" s="12"/>
      <c r="K115" s="37"/>
      <c r="L115" s="37"/>
      <c r="M115" s="37"/>
      <c r="O115" s="28">
        <v>0</v>
      </c>
      <c r="P115" s="97">
        <v>2</v>
      </c>
      <c r="R115" s="101">
        <v>2</v>
      </c>
      <c r="S115" s="101">
        <v>2</v>
      </c>
      <c r="U115" s="97">
        <v>4</v>
      </c>
      <c r="BK115" s="97">
        <v>1</v>
      </c>
      <c r="BL115" s="101">
        <v>1</v>
      </c>
      <c r="BM115" s="101">
        <v>2</v>
      </c>
    </row>
    <row r="116" spans="1:80" x14ac:dyDescent="0.25">
      <c r="A116" s="51"/>
      <c r="B116" s="98">
        <f t="shared" si="18"/>
        <v>7</v>
      </c>
      <c r="C116" s="23" t="s">
        <v>20</v>
      </c>
      <c r="D116" s="12"/>
      <c r="E116" s="7"/>
      <c r="F116" s="12"/>
      <c r="G116" s="12"/>
      <c r="H116" s="12"/>
      <c r="I116" s="12"/>
      <c r="J116" s="12" t="s">
        <v>7</v>
      </c>
      <c r="K116" s="37"/>
      <c r="L116" s="37"/>
      <c r="M116" s="37"/>
      <c r="N116" s="96">
        <v>3</v>
      </c>
      <c r="O116" s="28">
        <v>2</v>
      </c>
      <c r="P116" s="97">
        <v>1</v>
      </c>
      <c r="S116" s="101">
        <v>1</v>
      </c>
    </row>
    <row r="117" spans="1:80" x14ac:dyDescent="0.25">
      <c r="A117" s="51"/>
      <c r="B117" s="5">
        <f t="shared" si="18"/>
        <v>5</v>
      </c>
      <c r="C117" s="23" t="s">
        <v>19</v>
      </c>
      <c r="D117" s="12"/>
      <c r="E117" s="7"/>
      <c r="F117" s="12"/>
      <c r="G117" s="12"/>
      <c r="H117" s="12"/>
      <c r="I117" s="12"/>
      <c r="J117" s="12"/>
      <c r="K117" s="37"/>
      <c r="L117" s="37"/>
      <c r="M117" s="37"/>
      <c r="Q117" s="101">
        <v>3</v>
      </c>
      <c r="T117" s="101">
        <v>1</v>
      </c>
      <c r="U117" s="101">
        <v>1</v>
      </c>
    </row>
    <row r="118" spans="1:80" hidden="1" x14ac:dyDescent="0.25">
      <c r="A118" s="51"/>
      <c r="B118" s="5">
        <f t="shared" si="18"/>
        <v>0</v>
      </c>
      <c r="C118" s="23" t="s">
        <v>18</v>
      </c>
      <c r="D118" s="12"/>
      <c r="E118" s="7"/>
      <c r="F118" s="12"/>
      <c r="G118" s="12"/>
      <c r="H118" s="12"/>
      <c r="I118" s="12"/>
      <c r="J118" s="12"/>
      <c r="K118" s="37"/>
      <c r="L118" s="37"/>
      <c r="M118" s="37"/>
    </row>
    <row r="119" spans="1:80" x14ac:dyDescent="0.25">
      <c r="A119" s="51"/>
      <c r="B119" s="98">
        <f t="shared" si="18"/>
        <v>0</v>
      </c>
      <c r="C119" s="23" t="s">
        <v>17</v>
      </c>
      <c r="D119" s="12"/>
      <c r="E119" s="7"/>
      <c r="F119" s="12"/>
      <c r="G119" s="12"/>
      <c r="H119" s="12"/>
      <c r="I119" s="12"/>
      <c r="J119" s="12"/>
      <c r="K119" s="37"/>
      <c r="L119" s="37"/>
      <c r="M119" s="37"/>
      <c r="O119" s="97">
        <v>0</v>
      </c>
    </row>
    <row r="120" spans="1:80" ht="15.75" thickBot="1" x14ac:dyDescent="0.3">
      <c r="A120" s="51"/>
      <c r="B120" s="98">
        <f t="shared" si="18"/>
        <v>2</v>
      </c>
      <c r="C120" s="23" t="s">
        <v>16</v>
      </c>
      <c r="D120" s="12"/>
      <c r="E120" s="7"/>
      <c r="F120" s="12"/>
      <c r="G120" s="12"/>
      <c r="H120" s="12"/>
      <c r="I120" s="12"/>
      <c r="J120" s="12"/>
      <c r="K120" s="37"/>
      <c r="L120" s="37"/>
      <c r="M120" s="37"/>
      <c r="O120" s="97">
        <v>2</v>
      </c>
    </row>
    <row r="121" spans="1:80" ht="15.75" thickBot="1" x14ac:dyDescent="0.3">
      <c r="A121" s="49" t="s">
        <v>13</v>
      </c>
      <c r="B121" s="10">
        <f>SUM(B112:B120)</f>
        <v>260</v>
      </c>
      <c r="C121" s="14"/>
      <c r="D121" s="12"/>
      <c r="E121" s="7"/>
      <c r="F121" s="12"/>
      <c r="G121" s="12"/>
      <c r="H121" s="12"/>
      <c r="I121" s="12"/>
      <c r="J121" s="12"/>
      <c r="K121" s="37"/>
      <c r="L121" s="37"/>
      <c r="M121" s="37"/>
    </row>
    <row r="122" spans="1:80" hidden="1" x14ac:dyDescent="0.25">
      <c r="C122" s="14"/>
      <c r="E122" s="57"/>
      <c r="CB122"/>
    </row>
    <row r="123" spans="1:80" s="8" customFormat="1" ht="15.75" hidden="1" customHeight="1" thickBot="1" x14ac:dyDescent="0.3">
      <c r="A123" s="112" t="s">
        <v>81</v>
      </c>
      <c r="B123" s="112"/>
      <c r="C123" s="112"/>
      <c r="D123" s="112"/>
      <c r="E123" s="112"/>
      <c r="F123" s="112"/>
      <c r="G123" s="112"/>
      <c r="H123" s="112"/>
      <c r="I123" s="112"/>
      <c r="J123" s="112"/>
      <c r="K123" s="34"/>
      <c r="L123" s="34"/>
      <c r="M123" s="34"/>
      <c r="N123" s="18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</row>
    <row r="124" spans="1:80" hidden="1" x14ac:dyDescent="0.25">
      <c r="A124" s="48" t="s">
        <v>12</v>
      </c>
      <c r="B124" s="62" t="s">
        <v>8</v>
      </c>
      <c r="C124" s="15" t="s">
        <v>10</v>
      </c>
      <c r="D124" s="14"/>
      <c r="E124" s="7"/>
      <c r="F124" s="12"/>
      <c r="G124" s="12"/>
      <c r="H124" s="12"/>
      <c r="I124" s="12"/>
      <c r="J124" s="12"/>
      <c r="K124" s="37"/>
      <c r="L124" s="37"/>
      <c r="M124" s="37"/>
      <c r="CB124"/>
    </row>
    <row r="125" spans="1:80" hidden="1" x14ac:dyDescent="0.25">
      <c r="A125" s="51"/>
      <c r="B125" s="5">
        <f>SUM(N125:AW125)</f>
        <v>0</v>
      </c>
      <c r="C125" s="23" t="s">
        <v>17</v>
      </c>
      <c r="D125" s="12"/>
      <c r="E125" s="7"/>
      <c r="F125" s="12"/>
      <c r="G125" s="12"/>
      <c r="H125" s="12"/>
      <c r="I125" s="12"/>
      <c r="J125" s="12"/>
      <c r="K125" s="37"/>
      <c r="L125" s="37"/>
      <c r="M125" s="37"/>
      <c r="CB125"/>
    </row>
    <row r="126" spans="1:80" hidden="1" x14ac:dyDescent="0.25">
      <c r="A126" s="68"/>
      <c r="B126" s="5">
        <f>SUM(N126:AW126)</f>
        <v>0</v>
      </c>
      <c r="C126" s="23" t="s">
        <v>16</v>
      </c>
      <c r="D126" s="14"/>
      <c r="E126" s="7"/>
      <c r="F126" s="12"/>
      <c r="G126" s="12"/>
      <c r="H126" s="12"/>
      <c r="I126" s="12"/>
      <c r="J126" s="12"/>
      <c r="K126" s="37"/>
      <c r="L126" s="37"/>
      <c r="M126" s="37"/>
      <c r="CB126"/>
    </row>
    <row r="127" spans="1:80" hidden="1" x14ac:dyDescent="0.25">
      <c r="A127" s="68"/>
      <c r="B127" s="5">
        <f>SUM(N127:AW127)</f>
        <v>0</v>
      </c>
      <c r="C127" s="23" t="s">
        <v>82</v>
      </c>
      <c r="D127" s="14"/>
      <c r="E127" s="7"/>
      <c r="F127" s="12"/>
      <c r="G127" s="12"/>
      <c r="H127" s="12"/>
      <c r="I127" s="12"/>
      <c r="J127" s="12"/>
      <c r="K127" s="37"/>
      <c r="L127" s="37"/>
      <c r="M127" s="37"/>
      <c r="CB127"/>
    </row>
    <row r="128" spans="1:80" ht="15.75" hidden="1" thickBot="1" x14ac:dyDescent="0.3">
      <c r="A128" s="54"/>
      <c r="B128" s="5">
        <f>SUM(N128:AW128)</f>
        <v>0</v>
      </c>
      <c r="C128" s="23" t="s">
        <v>83</v>
      </c>
      <c r="D128" s="12"/>
      <c r="E128" s="7"/>
      <c r="F128" s="12"/>
      <c r="G128" s="12"/>
      <c r="H128" s="12"/>
      <c r="I128" s="12"/>
      <c r="J128" s="12"/>
      <c r="K128" s="37"/>
      <c r="L128" s="37"/>
      <c r="M128" s="37"/>
      <c r="CB128"/>
    </row>
    <row r="129" spans="1:80" ht="15.75" hidden="1" thickBot="1" x14ac:dyDescent="0.3">
      <c r="A129" s="49" t="s">
        <v>13</v>
      </c>
      <c r="B129" s="10">
        <f>SUM(B126:B128)</f>
        <v>0</v>
      </c>
      <c r="C129" s="11"/>
      <c r="D129" s="12"/>
      <c r="E129" s="7"/>
      <c r="F129" s="12"/>
      <c r="G129" s="12"/>
      <c r="H129" s="12"/>
      <c r="I129" s="12"/>
      <c r="J129" s="12"/>
      <c r="K129" s="37"/>
      <c r="L129" s="37"/>
      <c r="M129" s="37"/>
      <c r="CB129"/>
    </row>
    <row r="130" spans="1:80" x14ac:dyDescent="0.25">
      <c r="E130" s="57"/>
      <c r="N130" s="99">
        <f>SUM(N112:N119)</f>
        <v>3</v>
      </c>
      <c r="O130" s="99">
        <f>SUM(O112:O121)</f>
        <v>5</v>
      </c>
      <c r="P130" s="99">
        <f t="shared" ref="P130:BN130" si="19">SUM(P112:P119)</f>
        <v>3</v>
      </c>
      <c r="Q130" s="99">
        <f t="shared" si="19"/>
        <v>3</v>
      </c>
      <c r="R130" s="99">
        <f t="shared" si="19"/>
        <v>2</v>
      </c>
      <c r="S130" s="99">
        <f t="shared" si="19"/>
        <v>6</v>
      </c>
      <c r="T130" s="99">
        <f t="shared" si="19"/>
        <v>1</v>
      </c>
      <c r="U130" s="99">
        <f t="shared" si="19"/>
        <v>8</v>
      </c>
      <c r="V130" s="99">
        <f t="shared" si="19"/>
        <v>0</v>
      </c>
      <c r="W130" s="99">
        <f t="shared" si="19"/>
        <v>6</v>
      </c>
      <c r="X130" s="99">
        <f t="shared" si="19"/>
        <v>0</v>
      </c>
      <c r="Y130" s="99">
        <f t="shared" si="19"/>
        <v>9</v>
      </c>
      <c r="Z130" s="99">
        <f t="shared" si="19"/>
        <v>0</v>
      </c>
      <c r="AA130" s="99">
        <f t="shared" si="19"/>
        <v>15</v>
      </c>
      <c r="AB130" s="99">
        <f t="shared" si="19"/>
        <v>0</v>
      </c>
      <c r="AC130" s="99">
        <f t="shared" si="19"/>
        <v>9</v>
      </c>
      <c r="AD130" s="99">
        <f t="shared" si="19"/>
        <v>0</v>
      </c>
      <c r="AE130" s="99">
        <f t="shared" si="19"/>
        <v>9</v>
      </c>
      <c r="AF130" s="99">
        <f t="shared" si="19"/>
        <v>0</v>
      </c>
      <c r="AG130" s="99">
        <f t="shared" si="19"/>
        <v>15</v>
      </c>
      <c r="AH130" s="99">
        <f t="shared" si="19"/>
        <v>0</v>
      </c>
      <c r="AI130" s="99">
        <f t="shared" si="19"/>
        <v>9</v>
      </c>
      <c r="AJ130" s="99">
        <f t="shared" si="19"/>
        <v>0</v>
      </c>
      <c r="AK130" s="99">
        <f t="shared" si="19"/>
        <v>9</v>
      </c>
      <c r="AL130" s="99">
        <f t="shared" si="19"/>
        <v>0</v>
      </c>
      <c r="AM130" s="99">
        <f>SUM(AM112:AM119)</f>
        <v>15</v>
      </c>
      <c r="AN130" s="99">
        <f t="shared" si="19"/>
        <v>0</v>
      </c>
      <c r="AO130" s="99">
        <f t="shared" si="19"/>
        <v>9</v>
      </c>
      <c r="AP130" s="99">
        <f t="shared" si="19"/>
        <v>0</v>
      </c>
      <c r="AQ130" s="99">
        <f t="shared" si="19"/>
        <v>9</v>
      </c>
      <c r="AR130" s="99">
        <f t="shared" si="19"/>
        <v>0</v>
      </c>
      <c r="AS130" s="99">
        <f t="shared" si="19"/>
        <v>15</v>
      </c>
      <c r="AT130" s="99">
        <f t="shared" si="19"/>
        <v>0</v>
      </c>
      <c r="AU130" s="99">
        <f t="shared" si="19"/>
        <v>9</v>
      </c>
      <c r="AV130" s="99">
        <f t="shared" si="19"/>
        <v>0</v>
      </c>
      <c r="AW130" s="99">
        <f t="shared" si="19"/>
        <v>9</v>
      </c>
      <c r="AX130" s="99">
        <f t="shared" si="19"/>
        <v>0</v>
      </c>
      <c r="AY130" s="99">
        <f t="shared" si="19"/>
        <v>15</v>
      </c>
      <c r="AZ130" s="99">
        <f t="shared" si="19"/>
        <v>0</v>
      </c>
      <c r="BA130" s="99">
        <f t="shared" si="19"/>
        <v>9</v>
      </c>
      <c r="BB130" s="99">
        <f t="shared" si="19"/>
        <v>0</v>
      </c>
      <c r="BC130" s="99">
        <f t="shared" si="19"/>
        <v>10</v>
      </c>
      <c r="BD130" s="99">
        <f t="shared" si="19"/>
        <v>0</v>
      </c>
      <c r="BE130" s="99">
        <f t="shared" si="19"/>
        <v>15</v>
      </c>
      <c r="BF130" s="99">
        <f t="shared" si="19"/>
        <v>9</v>
      </c>
      <c r="BG130" s="99">
        <f t="shared" si="19"/>
        <v>1</v>
      </c>
      <c r="BH130" s="99">
        <f t="shared" si="19"/>
        <v>0</v>
      </c>
      <c r="BI130" s="99">
        <f t="shared" si="19"/>
        <v>1</v>
      </c>
      <c r="BJ130" s="99">
        <f t="shared" si="19"/>
        <v>0</v>
      </c>
      <c r="BK130" s="99">
        <f t="shared" si="19"/>
        <v>1</v>
      </c>
      <c r="BL130" s="99">
        <f t="shared" si="19"/>
        <v>19</v>
      </c>
      <c r="BM130" s="99">
        <f t="shared" si="19"/>
        <v>2</v>
      </c>
      <c r="BN130" s="99">
        <f t="shared" si="19"/>
        <v>0</v>
      </c>
      <c r="CB130"/>
    </row>
    <row r="131" spans="1:80" s="8" customFormat="1" ht="15.75" customHeight="1" thickBot="1" x14ac:dyDescent="0.3">
      <c r="A131" s="112" t="s">
        <v>74</v>
      </c>
      <c r="B131" s="112"/>
      <c r="C131" s="112"/>
      <c r="D131" s="112"/>
      <c r="E131" s="112"/>
      <c r="F131" s="112"/>
      <c r="G131" s="112"/>
      <c r="H131" s="112"/>
      <c r="I131" s="112"/>
      <c r="J131" s="112"/>
      <c r="K131" s="34"/>
      <c r="L131" s="34"/>
      <c r="M131" s="34"/>
      <c r="N131" s="18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</row>
    <row r="132" spans="1:80" x14ac:dyDescent="0.25">
      <c r="A132" s="73" t="s">
        <v>12</v>
      </c>
      <c r="B132" s="74" t="s">
        <v>8</v>
      </c>
      <c r="C132" s="75" t="s">
        <v>10</v>
      </c>
      <c r="D132" s="76"/>
      <c r="E132" s="57"/>
      <c r="F132" s="77"/>
      <c r="G132" s="77"/>
      <c r="H132" s="77"/>
      <c r="I132" s="77"/>
      <c r="J132" s="77"/>
      <c r="K132" s="78"/>
      <c r="L132" s="78"/>
      <c r="M132" s="78"/>
      <c r="CB132"/>
    </row>
    <row r="133" spans="1:80" hidden="1" x14ac:dyDescent="0.25">
      <c r="A133" s="79"/>
      <c r="B133" s="5">
        <f t="shared" ref="B133:B141" si="20">SUM(N133:AW133)</f>
        <v>0</v>
      </c>
      <c r="C133" s="80" t="s">
        <v>15</v>
      </c>
      <c r="E133" s="57"/>
      <c r="CB133"/>
    </row>
    <row r="134" spans="1:80" hidden="1" x14ac:dyDescent="0.25">
      <c r="A134" s="79"/>
      <c r="B134" s="5">
        <f t="shared" si="20"/>
        <v>0</v>
      </c>
      <c r="C134" s="80" t="s">
        <v>23</v>
      </c>
      <c r="E134" s="57"/>
      <c r="CB134"/>
    </row>
    <row r="135" spans="1:80" hidden="1" x14ac:dyDescent="0.25">
      <c r="A135" s="79"/>
      <c r="B135" s="5">
        <f t="shared" si="20"/>
        <v>0</v>
      </c>
      <c r="C135" s="80" t="s">
        <v>22</v>
      </c>
      <c r="E135" s="57"/>
      <c r="CB135"/>
    </row>
    <row r="136" spans="1:80" hidden="1" x14ac:dyDescent="0.25">
      <c r="A136" s="79"/>
      <c r="B136" s="5">
        <f t="shared" si="20"/>
        <v>0</v>
      </c>
      <c r="C136" s="80" t="s">
        <v>21</v>
      </c>
      <c r="E136" s="57"/>
      <c r="CB136"/>
    </row>
    <row r="137" spans="1:80" hidden="1" x14ac:dyDescent="0.25">
      <c r="A137" s="79"/>
      <c r="B137" s="5">
        <f t="shared" si="20"/>
        <v>0</v>
      </c>
      <c r="C137" s="80" t="s">
        <v>20</v>
      </c>
      <c r="E137" s="57"/>
      <c r="CB137"/>
    </row>
    <row r="138" spans="1:80" ht="15.75" thickBot="1" x14ac:dyDescent="0.3">
      <c r="A138" s="79"/>
      <c r="B138" s="5">
        <f t="shared" si="20"/>
        <v>2</v>
      </c>
      <c r="C138" s="80" t="s">
        <v>19</v>
      </c>
      <c r="E138" s="57"/>
      <c r="Q138" s="101">
        <v>2</v>
      </c>
      <c r="CB138"/>
    </row>
    <row r="139" spans="1:80" hidden="1" x14ac:dyDescent="0.25">
      <c r="A139" s="79"/>
      <c r="B139" s="5">
        <f t="shared" si="20"/>
        <v>0</v>
      </c>
      <c r="C139" s="80" t="s">
        <v>18</v>
      </c>
      <c r="E139" s="57"/>
      <c r="CB139"/>
    </row>
    <row r="140" spans="1:80" hidden="1" x14ac:dyDescent="0.25">
      <c r="A140" s="79"/>
      <c r="B140" s="5">
        <f t="shared" si="20"/>
        <v>0</v>
      </c>
      <c r="C140" s="80" t="s">
        <v>17</v>
      </c>
      <c r="E140" s="57"/>
      <c r="CB140"/>
    </row>
    <row r="141" spans="1:80" ht="15.75" hidden="1" thickBot="1" x14ac:dyDescent="0.3">
      <c r="A141" s="79"/>
      <c r="B141" s="5">
        <f t="shared" si="20"/>
        <v>0</v>
      </c>
      <c r="C141" s="80" t="s">
        <v>16</v>
      </c>
      <c r="E141" s="57"/>
      <c r="CB141"/>
    </row>
    <row r="142" spans="1:80" ht="15.75" thickBot="1" x14ac:dyDescent="0.3">
      <c r="A142" s="81" t="s">
        <v>13</v>
      </c>
      <c r="B142" s="82">
        <f>SUM(B133:B141)</f>
        <v>2</v>
      </c>
      <c r="C142" s="14"/>
      <c r="E142" s="57"/>
      <c r="CB142"/>
    </row>
    <row r="143" spans="1:80" x14ac:dyDescent="0.25">
      <c r="A143" s="52"/>
      <c r="C143" s="14"/>
      <c r="E143" s="57"/>
      <c r="CB143"/>
    </row>
    <row r="144" spans="1:80" hidden="1" x14ac:dyDescent="0.25">
      <c r="A144" s="83"/>
      <c r="B144" s="84"/>
      <c r="C144" s="83"/>
      <c r="D144" s="83"/>
      <c r="E144" s="83"/>
      <c r="F144" s="83"/>
      <c r="G144" s="83"/>
      <c r="H144" s="83"/>
      <c r="I144" s="83"/>
      <c r="J144" s="83"/>
      <c r="K144" s="45"/>
      <c r="L144" s="45"/>
      <c r="M144" s="45"/>
      <c r="CB144"/>
    </row>
    <row r="145" spans="1:80" ht="15.75" hidden="1" thickBot="1" x14ac:dyDescent="0.3">
      <c r="A145" s="112" t="s">
        <v>75</v>
      </c>
      <c r="B145" s="112"/>
      <c r="C145" s="112"/>
      <c r="D145" s="112"/>
      <c r="E145" s="112"/>
      <c r="F145" s="112"/>
      <c r="G145" s="112"/>
      <c r="H145" s="112"/>
      <c r="I145" s="112"/>
      <c r="J145" s="112"/>
      <c r="K145" s="34"/>
      <c r="L145" s="34"/>
      <c r="M145" s="34"/>
      <c r="CB145"/>
    </row>
    <row r="146" spans="1:80" hidden="1" x14ac:dyDescent="0.25">
      <c r="A146" s="48" t="s">
        <v>12</v>
      </c>
      <c r="B146" s="62" t="s">
        <v>8</v>
      </c>
      <c r="C146" s="115" t="s">
        <v>9</v>
      </c>
      <c r="D146" s="116"/>
      <c r="E146" s="12"/>
      <c r="F146" s="26"/>
      <c r="G146" s="26"/>
      <c r="H146" s="26"/>
      <c r="I146" s="26"/>
      <c r="J146" s="26"/>
      <c r="K146" s="34"/>
      <c r="L146" s="34"/>
      <c r="M146" s="34"/>
      <c r="CB146"/>
    </row>
    <row r="147" spans="1:80" hidden="1" x14ac:dyDescent="0.25">
      <c r="A147" s="54"/>
      <c r="B147" s="5">
        <f>SUM(N147:AW147)</f>
        <v>0</v>
      </c>
      <c r="C147" s="117" t="s">
        <v>30</v>
      </c>
      <c r="D147" s="116"/>
      <c r="E147" s="12"/>
      <c r="F147" s="12"/>
      <c r="G147" s="12"/>
      <c r="H147" s="12"/>
      <c r="I147" s="12"/>
      <c r="J147" s="12"/>
      <c r="K147" s="37"/>
      <c r="L147" s="37"/>
      <c r="M147" s="37"/>
      <c r="CB147"/>
    </row>
    <row r="148" spans="1:80" ht="15.75" hidden="1" thickBot="1" x14ac:dyDescent="0.3">
      <c r="A148" s="54"/>
      <c r="B148" s="5">
        <f>SUM(N148:AW148)</f>
        <v>0</v>
      </c>
      <c r="C148" s="117" t="s">
        <v>39</v>
      </c>
      <c r="D148" s="116"/>
      <c r="E148" s="12"/>
      <c r="F148" s="12"/>
      <c r="G148" s="12"/>
      <c r="H148" s="12"/>
      <c r="I148" s="12"/>
      <c r="J148" s="12"/>
      <c r="K148" s="37"/>
      <c r="L148" s="37"/>
      <c r="M148" s="37"/>
      <c r="CB148"/>
    </row>
    <row r="149" spans="1:80" ht="15.75" hidden="1" thickBot="1" x14ac:dyDescent="0.3">
      <c r="A149" s="55" t="s">
        <v>13</v>
      </c>
      <c r="B149" s="10">
        <f>SUM(B147:B148)</f>
        <v>0</v>
      </c>
      <c r="C149" s="11"/>
      <c r="D149" s="12"/>
      <c r="E149" s="12"/>
      <c r="F149" s="12"/>
      <c r="G149" s="12"/>
      <c r="H149" s="12"/>
      <c r="I149" s="12"/>
      <c r="J149" s="12"/>
      <c r="K149" s="37"/>
      <c r="L149" s="37"/>
      <c r="M149" s="37"/>
      <c r="CB149"/>
    </row>
    <row r="150" spans="1:80" hidden="1" x14ac:dyDescent="0.25">
      <c r="CB150"/>
    </row>
    <row r="151" spans="1:80" ht="15.75" thickBot="1" x14ac:dyDescent="0.3">
      <c r="A151" s="112" t="s">
        <v>76</v>
      </c>
      <c r="B151" s="112"/>
      <c r="C151" s="112"/>
      <c r="D151" s="112"/>
      <c r="E151" s="112"/>
      <c r="F151" s="112"/>
      <c r="G151" s="112"/>
      <c r="H151" s="112"/>
      <c r="I151" s="112"/>
      <c r="J151" s="112"/>
      <c r="K151" s="34"/>
      <c r="L151" s="34"/>
      <c r="M151" s="34"/>
      <c r="CB151"/>
    </row>
    <row r="152" spans="1:80" x14ac:dyDescent="0.25">
      <c r="A152" s="48" t="s">
        <v>12</v>
      </c>
      <c r="B152" s="62" t="s">
        <v>8</v>
      </c>
      <c r="C152" s="118" t="s">
        <v>77</v>
      </c>
      <c r="D152" s="119"/>
      <c r="E152" s="113" t="s">
        <v>10</v>
      </c>
      <c r="F152" s="113"/>
      <c r="G152" s="113" t="s">
        <v>78</v>
      </c>
      <c r="H152" s="113"/>
      <c r="I152" s="26"/>
      <c r="J152" s="26"/>
      <c r="K152" s="34"/>
      <c r="L152" s="34"/>
      <c r="M152" s="34"/>
      <c r="CB152"/>
    </row>
    <row r="153" spans="1:80" ht="15.75" thickBot="1" x14ac:dyDescent="0.3">
      <c r="A153" s="54"/>
      <c r="B153" s="5">
        <f>SUM(N153:AW153)</f>
        <v>1</v>
      </c>
      <c r="C153" s="120" t="s">
        <v>0</v>
      </c>
      <c r="D153" s="119"/>
      <c r="E153" s="114" t="s">
        <v>19</v>
      </c>
      <c r="F153" s="114"/>
      <c r="G153" s="114" t="s">
        <v>100</v>
      </c>
      <c r="H153" s="114"/>
      <c r="I153" s="12"/>
      <c r="J153" s="12"/>
      <c r="K153" s="37"/>
      <c r="L153" s="37"/>
      <c r="M153" s="37"/>
      <c r="Q153" s="101">
        <v>1</v>
      </c>
      <c r="CB153"/>
    </row>
    <row r="154" spans="1:80" ht="15.75" thickBot="1" x14ac:dyDescent="0.3">
      <c r="A154" s="55" t="s">
        <v>13</v>
      </c>
      <c r="B154" s="10">
        <f>SUM(B153:B153)</f>
        <v>1</v>
      </c>
      <c r="C154" s="11"/>
      <c r="D154" s="12"/>
      <c r="E154" s="12"/>
      <c r="F154" s="12"/>
      <c r="G154" s="12"/>
      <c r="H154" s="12"/>
      <c r="I154" s="12"/>
      <c r="J154" s="12"/>
      <c r="K154" s="37"/>
      <c r="L154" s="37"/>
      <c r="M154" s="37"/>
      <c r="CB154"/>
    </row>
    <row r="155" spans="1:80" hidden="1" x14ac:dyDescent="0.25">
      <c r="K155" s="45"/>
      <c r="L155" s="45"/>
      <c r="M155" s="45"/>
      <c r="CB155"/>
    </row>
    <row r="156" spans="1:80" s="8" customFormat="1" ht="15.95" hidden="1" customHeight="1" thickBot="1" x14ac:dyDescent="0.3">
      <c r="A156" s="112" t="s">
        <v>27</v>
      </c>
      <c r="B156" s="112"/>
      <c r="C156" s="112"/>
      <c r="D156" s="112"/>
      <c r="E156" s="112"/>
      <c r="F156" s="112"/>
      <c r="G156" s="112"/>
      <c r="H156" s="112"/>
      <c r="I156" s="112"/>
      <c r="J156" s="112"/>
      <c r="K156" s="34"/>
      <c r="L156" s="34"/>
      <c r="M156" s="34"/>
      <c r="N156" s="18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  <c r="BQ156" s="6"/>
      <c r="BR156" s="6"/>
      <c r="BS156" s="6"/>
      <c r="BT156" s="6"/>
      <c r="BU156" s="6"/>
      <c r="BV156" s="6"/>
      <c r="BW156" s="6"/>
      <c r="BX156" s="6"/>
      <c r="BY156" s="6"/>
      <c r="BZ156" s="6"/>
      <c r="CA156" s="6"/>
    </row>
    <row r="157" spans="1:80" hidden="1" x14ac:dyDescent="0.25">
      <c r="A157" s="48" t="s">
        <v>12</v>
      </c>
      <c r="B157" s="62" t="s">
        <v>8</v>
      </c>
      <c r="C157" s="15" t="s">
        <v>9</v>
      </c>
      <c r="D157" s="113" t="s">
        <v>11</v>
      </c>
      <c r="E157" s="113"/>
      <c r="F157" s="113"/>
      <c r="G157" s="113"/>
      <c r="H157" s="113"/>
      <c r="I157" s="113"/>
      <c r="J157" s="113"/>
      <c r="K157" s="38"/>
      <c r="L157" s="39"/>
      <c r="M157" s="39"/>
      <c r="CB157"/>
    </row>
    <row r="158" spans="1:80" hidden="1" x14ac:dyDescent="0.25">
      <c r="A158" s="51"/>
      <c r="B158" s="5">
        <f>SUM(N158:AW158)</f>
        <v>0</v>
      </c>
      <c r="C158" s="23" t="s">
        <v>0</v>
      </c>
      <c r="D158" s="114" t="s">
        <v>89</v>
      </c>
      <c r="E158" s="114"/>
      <c r="F158" s="114"/>
      <c r="G158" s="114"/>
      <c r="H158" s="114"/>
      <c r="I158" s="114"/>
      <c r="J158" s="114"/>
      <c r="K158" s="42"/>
      <c r="L158" s="37"/>
      <c r="M158" s="37"/>
      <c r="CB158"/>
    </row>
    <row r="159" spans="1:80" hidden="1" x14ac:dyDescent="0.25">
      <c r="A159" s="51"/>
      <c r="B159" s="5">
        <f>SUM(N159:AW159)</f>
        <v>0</v>
      </c>
      <c r="C159" s="23" t="s">
        <v>3</v>
      </c>
      <c r="D159" s="114" t="s">
        <v>89</v>
      </c>
      <c r="E159" s="114"/>
      <c r="F159" s="114"/>
      <c r="G159" s="114"/>
      <c r="H159" s="114"/>
      <c r="I159" s="114"/>
      <c r="J159" s="114"/>
      <c r="K159" s="42"/>
      <c r="L159" s="37"/>
      <c r="M159" s="37"/>
      <c r="CB159"/>
    </row>
    <row r="160" spans="1:80" hidden="1" x14ac:dyDescent="0.25">
      <c r="A160" s="51"/>
      <c r="B160" s="5">
        <f>SUM(N160:AW160)</f>
        <v>0</v>
      </c>
      <c r="C160" s="23"/>
      <c r="D160" s="114"/>
      <c r="E160" s="114"/>
      <c r="F160" s="114"/>
      <c r="G160" s="114"/>
      <c r="H160" s="114"/>
      <c r="I160" s="114"/>
      <c r="J160" s="114"/>
      <c r="K160" s="42"/>
      <c r="L160" s="37"/>
      <c r="M160" s="37"/>
      <c r="CB160"/>
    </row>
    <row r="161" spans="1:80" ht="15.75" hidden="1" thickBot="1" x14ac:dyDescent="0.3">
      <c r="A161" s="51"/>
      <c r="B161" s="5">
        <f>SUM(N161:AW161)</f>
        <v>0</v>
      </c>
      <c r="C161" s="23"/>
      <c r="D161" s="114"/>
      <c r="E161" s="114"/>
      <c r="F161" s="114"/>
      <c r="G161" s="114"/>
      <c r="H161" s="114"/>
      <c r="I161" s="114"/>
      <c r="J161" s="114"/>
      <c r="K161" s="42"/>
      <c r="L161" s="37"/>
      <c r="M161" s="37"/>
      <c r="CB161"/>
    </row>
    <row r="162" spans="1:80" ht="15.75" hidden="1" thickBot="1" x14ac:dyDescent="0.3">
      <c r="A162" s="49" t="s">
        <v>13</v>
      </c>
      <c r="B162" s="10">
        <f>SUM(B158:B161)</f>
        <v>0</v>
      </c>
      <c r="C162" s="11"/>
      <c r="D162" s="12"/>
      <c r="E162" s="12"/>
      <c r="F162" s="12"/>
      <c r="G162" s="12"/>
      <c r="H162" s="12"/>
      <c r="I162" s="12"/>
      <c r="J162" s="12"/>
      <c r="K162" s="37"/>
      <c r="L162" s="37"/>
      <c r="M162" s="37"/>
      <c r="CB162"/>
    </row>
    <row r="163" spans="1:80" hidden="1" x14ac:dyDescent="0.25">
      <c r="A163" s="111" t="s">
        <v>28</v>
      </c>
      <c r="B163" s="111"/>
      <c r="C163" s="111"/>
      <c r="D163" s="111"/>
      <c r="E163" s="111"/>
      <c r="F163" s="111"/>
      <c r="G163" s="111"/>
      <c r="H163" s="111"/>
      <c r="I163" s="111"/>
      <c r="J163" s="111"/>
      <c r="K163" s="45"/>
      <c r="L163" s="45"/>
      <c r="M163" s="45"/>
      <c r="CB163"/>
    </row>
    <row r="164" spans="1:80" hidden="1" x14ac:dyDescent="0.25">
      <c r="A164" s="111"/>
      <c r="B164" s="111"/>
      <c r="C164" s="111"/>
      <c r="D164" s="111"/>
      <c r="E164" s="111"/>
      <c r="F164" s="111"/>
      <c r="G164" s="111"/>
      <c r="H164" s="111"/>
      <c r="I164" s="111"/>
      <c r="J164" s="111"/>
      <c r="K164" s="45"/>
      <c r="L164" s="45"/>
      <c r="M164" s="45"/>
      <c r="CB164"/>
    </row>
    <row r="165" spans="1:80" s="8" customFormat="1" ht="15.95" hidden="1" customHeight="1" thickBot="1" x14ac:dyDescent="0.3">
      <c r="A165" s="112" t="s">
        <v>32</v>
      </c>
      <c r="B165" s="112"/>
      <c r="C165" s="112"/>
      <c r="D165" s="112"/>
      <c r="E165" s="112"/>
      <c r="F165" s="112"/>
      <c r="G165" s="112"/>
      <c r="H165" s="112"/>
      <c r="I165" s="112"/>
      <c r="J165" s="112"/>
      <c r="K165" s="34"/>
      <c r="L165" s="34"/>
      <c r="M165" s="34"/>
      <c r="N165" s="18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  <c r="BO165" s="6"/>
      <c r="BP165" s="6"/>
      <c r="BQ165" s="6"/>
      <c r="BR165" s="6"/>
      <c r="BS165" s="6"/>
      <c r="BT165" s="6"/>
      <c r="BU165" s="6"/>
      <c r="BV165" s="6"/>
      <c r="BW165" s="6"/>
      <c r="BX165" s="6"/>
      <c r="BY165" s="6"/>
      <c r="BZ165" s="6"/>
      <c r="CA165" s="6"/>
    </row>
    <row r="166" spans="1:80" hidden="1" x14ac:dyDescent="0.25">
      <c r="A166" s="48" t="s">
        <v>12</v>
      </c>
      <c r="B166" s="62" t="s">
        <v>8</v>
      </c>
      <c r="C166" s="15" t="s">
        <v>9</v>
      </c>
      <c r="D166" s="59" t="s">
        <v>10</v>
      </c>
      <c r="E166" s="113" t="s">
        <v>33</v>
      </c>
      <c r="F166" s="113"/>
      <c r="G166" s="113"/>
      <c r="H166" s="113" t="s">
        <v>34</v>
      </c>
      <c r="I166" s="113"/>
      <c r="J166" s="113"/>
      <c r="K166" s="39"/>
      <c r="L166" s="39"/>
      <c r="M166" s="39"/>
      <c r="CB166"/>
    </row>
    <row r="167" spans="1:80" ht="15.75" hidden="1" thickBot="1" x14ac:dyDescent="0.3">
      <c r="A167" s="51"/>
      <c r="B167" s="5">
        <f>SUM(N167:AW167)</f>
        <v>0</v>
      </c>
      <c r="C167" s="23"/>
      <c r="D167" s="19"/>
      <c r="E167" s="114"/>
      <c r="F167" s="114"/>
      <c r="G167" s="114"/>
      <c r="H167" s="114"/>
      <c r="I167" s="114"/>
      <c r="J167" s="114"/>
      <c r="K167" s="37"/>
      <c r="L167" s="37"/>
      <c r="M167" s="37"/>
      <c r="CB167"/>
    </row>
    <row r="168" spans="1:80" ht="15.75" hidden="1" thickBot="1" x14ac:dyDescent="0.3">
      <c r="A168" s="49" t="s">
        <v>13</v>
      </c>
      <c r="B168" s="10">
        <f>SUM(B167:B167)</f>
        <v>0</v>
      </c>
      <c r="C168" s="11"/>
      <c r="D168" s="12"/>
      <c r="E168" s="12"/>
      <c r="F168" s="12"/>
      <c r="G168" s="12"/>
      <c r="H168" s="12"/>
      <c r="I168" s="12"/>
      <c r="J168" s="12"/>
      <c r="K168" s="37"/>
      <c r="L168" s="37"/>
      <c r="M168" s="37"/>
      <c r="CB168"/>
    </row>
    <row r="169" spans="1:80" hidden="1" x14ac:dyDescent="0.25">
      <c r="A169" s="111" t="s">
        <v>44</v>
      </c>
      <c r="B169" s="111"/>
      <c r="C169" s="111"/>
      <c r="D169" s="111"/>
      <c r="E169" s="111"/>
      <c r="F169" s="111"/>
      <c r="G169" s="111"/>
      <c r="H169" s="111"/>
      <c r="I169" s="111"/>
      <c r="J169" s="111"/>
      <c r="K169" s="45"/>
      <c r="L169" s="45"/>
      <c r="M169" s="45"/>
      <c r="CB169"/>
    </row>
    <row r="170" spans="1:80" hidden="1" x14ac:dyDescent="0.25">
      <c r="A170" s="111"/>
      <c r="B170" s="111"/>
      <c r="C170" s="111"/>
      <c r="D170" s="111"/>
      <c r="E170" s="111"/>
      <c r="F170" s="111"/>
      <c r="G170" s="111"/>
      <c r="H170" s="111"/>
      <c r="I170" s="111"/>
      <c r="J170" s="111"/>
      <c r="K170" s="45"/>
      <c r="L170" s="45"/>
      <c r="M170" s="45"/>
      <c r="CB170"/>
    </row>
    <row r="171" spans="1:80" x14ac:dyDescent="0.25">
      <c r="CB171"/>
    </row>
    <row r="172" spans="1:80" ht="15.75" thickBot="1" x14ac:dyDescent="0.3">
      <c r="A172" s="112" t="s">
        <v>47</v>
      </c>
      <c r="B172" s="112"/>
      <c r="C172" s="112"/>
      <c r="D172" s="112"/>
      <c r="E172" s="112"/>
      <c r="F172" s="112"/>
      <c r="G172" s="112"/>
      <c r="H172" s="112"/>
      <c r="I172" s="112"/>
      <c r="J172" s="112"/>
      <c r="K172" s="34"/>
      <c r="L172" s="34"/>
      <c r="M172" s="34"/>
      <c r="CB172"/>
    </row>
    <row r="173" spans="1:80" ht="17.25" customHeight="1" x14ac:dyDescent="0.25">
      <c r="A173" s="48" t="s">
        <v>12</v>
      </c>
      <c r="B173" s="62" t="s">
        <v>8</v>
      </c>
      <c r="C173" s="15" t="s">
        <v>9</v>
      </c>
      <c r="D173" s="113" t="s">
        <v>11</v>
      </c>
      <c r="E173" s="113"/>
      <c r="F173" s="113"/>
      <c r="G173" s="113"/>
      <c r="H173" s="113"/>
      <c r="I173" s="113"/>
      <c r="J173" s="113"/>
      <c r="K173" s="38"/>
      <c r="L173" s="39"/>
      <c r="M173" s="39"/>
      <c r="CB173"/>
    </row>
    <row r="174" spans="1:80" x14ac:dyDescent="0.25">
      <c r="A174" s="51"/>
      <c r="B174" s="5">
        <f>SUM(N174:CW174)</f>
        <v>2</v>
      </c>
      <c r="C174" s="23" t="s">
        <v>0</v>
      </c>
      <c r="D174" s="114" t="s">
        <v>181</v>
      </c>
      <c r="E174" s="114"/>
      <c r="F174" s="114"/>
      <c r="G174" s="114"/>
      <c r="H174" s="114"/>
      <c r="I174" s="114"/>
      <c r="J174" s="114"/>
      <c r="K174" s="42"/>
      <c r="L174" s="37"/>
      <c r="M174" s="37"/>
      <c r="Q174" s="101">
        <v>2</v>
      </c>
      <c r="CB174"/>
    </row>
    <row r="175" spans="1:80" x14ac:dyDescent="0.25">
      <c r="A175" s="51"/>
      <c r="B175" s="5">
        <f>SUM(N175:CW175)</f>
        <v>1</v>
      </c>
      <c r="C175" s="23" t="s">
        <v>1</v>
      </c>
      <c r="D175" s="114" t="s">
        <v>90</v>
      </c>
      <c r="E175" s="114"/>
      <c r="F175" s="114"/>
      <c r="G175" s="114"/>
      <c r="H175" s="114"/>
      <c r="I175" s="114"/>
      <c r="J175" s="114"/>
      <c r="K175" s="42"/>
      <c r="L175" s="37"/>
      <c r="M175" s="37"/>
      <c r="BM175" s="101">
        <v>1</v>
      </c>
      <c r="CB175"/>
    </row>
    <row r="176" spans="1:80" x14ac:dyDescent="0.25">
      <c r="A176" s="56"/>
      <c r="B176" s="5">
        <f t="shared" ref="B176:B181" si="21">SUM(N176:CW176)</f>
        <v>1</v>
      </c>
      <c r="C176" s="23" t="s">
        <v>2</v>
      </c>
      <c r="D176" s="114" t="s">
        <v>90</v>
      </c>
      <c r="E176" s="114"/>
      <c r="F176" s="114"/>
      <c r="G176" s="114"/>
      <c r="H176" s="114"/>
      <c r="I176" s="114"/>
      <c r="J176" s="114"/>
      <c r="K176" s="42"/>
      <c r="L176" s="37"/>
      <c r="M176" s="37"/>
      <c r="O176" s="95">
        <v>1</v>
      </c>
      <c r="CB176"/>
    </row>
    <row r="177" spans="1:80" ht="15.75" thickBot="1" x14ac:dyDescent="0.3">
      <c r="A177" s="51"/>
      <c r="B177" s="98">
        <f t="shared" si="21"/>
        <v>1</v>
      </c>
      <c r="C177" s="23" t="s">
        <v>39</v>
      </c>
      <c r="D177" s="114" t="s">
        <v>90</v>
      </c>
      <c r="E177" s="114"/>
      <c r="F177" s="114"/>
      <c r="G177" s="114"/>
      <c r="H177" s="114"/>
      <c r="I177" s="114"/>
      <c r="J177" s="114"/>
      <c r="K177" s="42"/>
      <c r="L177" s="37"/>
      <c r="M177" s="37"/>
      <c r="O177" s="97">
        <v>1</v>
      </c>
      <c r="CB177"/>
    </row>
    <row r="178" spans="1:80" hidden="1" x14ac:dyDescent="0.25">
      <c r="A178" s="56"/>
      <c r="B178" s="5">
        <f t="shared" si="21"/>
        <v>0</v>
      </c>
      <c r="C178" s="23"/>
      <c r="D178" s="114"/>
      <c r="E178" s="114"/>
      <c r="F178" s="114"/>
      <c r="G178" s="114"/>
      <c r="H178" s="114"/>
      <c r="I178" s="114"/>
      <c r="J178" s="114"/>
      <c r="K178" s="42"/>
      <c r="L178" s="37"/>
      <c r="M178" s="37"/>
      <c r="CB178"/>
    </row>
    <row r="179" spans="1:80" hidden="1" x14ac:dyDescent="0.25">
      <c r="A179" s="51"/>
      <c r="B179" s="5">
        <f t="shared" si="21"/>
        <v>0</v>
      </c>
      <c r="C179" s="23"/>
      <c r="D179" s="114"/>
      <c r="E179" s="114"/>
      <c r="F179" s="114"/>
      <c r="G179" s="114"/>
      <c r="H179" s="114"/>
      <c r="I179" s="114"/>
      <c r="J179" s="114"/>
      <c r="K179" s="42"/>
      <c r="L179" s="37"/>
      <c r="M179" s="37"/>
      <c r="CB179"/>
    </row>
    <row r="180" spans="1:80" hidden="1" x14ac:dyDescent="0.25">
      <c r="A180" s="51"/>
      <c r="B180" s="5">
        <f t="shared" si="21"/>
        <v>0</v>
      </c>
      <c r="C180" s="23"/>
      <c r="D180" s="114"/>
      <c r="E180" s="114"/>
      <c r="F180" s="114"/>
      <c r="G180" s="114"/>
      <c r="H180" s="114"/>
      <c r="I180" s="114"/>
      <c r="J180" s="114"/>
      <c r="K180" s="42"/>
      <c r="L180" s="37"/>
      <c r="M180" s="37"/>
      <c r="CB180"/>
    </row>
    <row r="181" spans="1:80" ht="15.75" hidden="1" thickBot="1" x14ac:dyDescent="0.3">
      <c r="A181" s="56"/>
      <c r="B181" s="5">
        <f t="shared" si="21"/>
        <v>0</v>
      </c>
      <c r="C181" s="23"/>
      <c r="D181" s="114"/>
      <c r="E181" s="114"/>
      <c r="F181" s="114"/>
      <c r="G181" s="114"/>
      <c r="H181" s="114"/>
      <c r="I181" s="114"/>
      <c r="J181" s="114"/>
      <c r="K181" s="42"/>
      <c r="L181" s="37"/>
      <c r="M181" s="37"/>
      <c r="CB181"/>
    </row>
    <row r="182" spans="1:80" ht="15.75" thickBot="1" x14ac:dyDescent="0.3">
      <c r="A182" s="55" t="s">
        <v>13</v>
      </c>
      <c r="B182" s="10">
        <f>SUM(B174:B181)</f>
        <v>5</v>
      </c>
      <c r="C182" s="11"/>
      <c r="D182" s="12"/>
      <c r="E182" s="12"/>
      <c r="F182" s="12"/>
      <c r="G182" s="12"/>
      <c r="H182" s="12"/>
      <c r="I182" s="12"/>
      <c r="J182" s="12"/>
      <c r="K182" s="37"/>
      <c r="L182" s="37"/>
      <c r="M182" s="37"/>
      <c r="CB182"/>
    </row>
    <row r="183" spans="1:80" x14ac:dyDescent="0.25">
      <c r="A183" s="26" t="s">
        <v>48</v>
      </c>
      <c r="B183" s="16"/>
      <c r="C183" s="11"/>
      <c r="D183" s="12"/>
      <c r="E183" s="12"/>
      <c r="F183" s="12"/>
      <c r="G183" s="12"/>
      <c r="H183" s="12"/>
      <c r="I183" s="12"/>
      <c r="J183" s="12"/>
      <c r="K183" s="37"/>
      <c r="L183" s="37"/>
      <c r="M183" s="37"/>
      <c r="CB183"/>
    </row>
    <row r="184" spans="1:80" ht="14.25" customHeight="1" x14ac:dyDescent="0.25">
      <c r="A184" s="50"/>
      <c r="B184" s="16"/>
      <c r="C184" s="11"/>
      <c r="D184" s="12"/>
      <c r="E184" s="12"/>
      <c r="F184" s="12"/>
      <c r="G184" s="12"/>
      <c r="H184" s="12"/>
      <c r="I184" s="12"/>
      <c r="J184" s="12"/>
      <c r="K184" s="37"/>
      <c r="L184" s="37"/>
      <c r="M184" s="37"/>
      <c r="CB184"/>
    </row>
    <row r="185" spans="1:80" s="8" customFormat="1" ht="15.95" hidden="1" customHeight="1" thickBot="1" x14ac:dyDescent="0.3">
      <c r="A185" s="112" t="s">
        <v>79</v>
      </c>
      <c r="B185" s="112"/>
      <c r="C185" s="112"/>
      <c r="D185" s="112"/>
      <c r="E185" s="112"/>
      <c r="F185" s="112"/>
      <c r="G185" s="112"/>
      <c r="H185" s="112"/>
      <c r="I185" s="112"/>
      <c r="J185" s="112"/>
      <c r="K185" s="34"/>
      <c r="L185" s="34"/>
      <c r="M185" s="34"/>
      <c r="N185" s="18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  <c r="BL185" s="6"/>
      <c r="BM185" s="6"/>
      <c r="BN185" s="6"/>
      <c r="BO185" s="6"/>
      <c r="BP185" s="6"/>
      <c r="BQ185" s="6"/>
      <c r="BR185" s="6"/>
      <c r="BS185" s="6"/>
      <c r="BT185" s="6"/>
      <c r="BU185" s="6"/>
      <c r="BV185" s="6"/>
      <c r="BW185" s="6"/>
      <c r="BX185" s="6"/>
      <c r="BY185" s="6"/>
      <c r="BZ185" s="6"/>
      <c r="CA185" s="6"/>
    </row>
    <row r="186" spans="1:80" hidden="1" x14ac:dyDescent="0.25">
      <c r="A186" s="48" t="s">
        <v>12</v>
      </c>
      <c r="B186" s="62" t="s">
        <v>8</v>
      </c>
      <c r="C186" s="115" t="s">
        <v>9</v>
      </c>
      <c r="D186" s="116"/>
      <c r="E186" s="59" t="s">
        <v>10</v>
      </c>
      <c r="F186" s="26"/>
      <c r="G186" s="26"/>
      <c r="H186" s="26"/>
      <c r="I186" s="26"/>
      <c r="J186" s="26"/>
      <c r="K186" s="34"/>
      <c r="L186" s="34"/>
      <c r="M186" s="34"/>
      <c r="CB186"/>
    </row>
    <row r="187" spans="1:80" ht="15.75" hidden="1" thickBot="1" x14ac:dyDescent="0.3">
      <c r="A187" s="54"/>
      <c r="B187" s="5">
        <f>SUM(N187:AW187)</f>
        <v>0</v>
      </c>
      <c r="C187" s="117"/>
      <c r="D187" s="116"/>
      <c r="E187" s="25" t="s">
        <v>80</v>
      </c>
      <c r="F187" s="12"/>
      <c r="G187" s="12"/>
      <c r="H187" s="12"/>
      <c r="I187" s="12"/>
      <c r="J187" s="12"/>
      <c r="K187" s="37"/>
      <c r="L187" s="37"/>
      <c r="M187" s="37"/>
      <c r="CB187"/>
    </row>
    <row r="188" spans="1:80" ht="15.75" hidden="1" thickBot="1" x14ac:dyDescent="0.3">
      <c r="A188" s="55" t="s">
        <v>13</v>
      </c>
      <c r="B188" s="10">
        <f>SUM(B187:B187)</f>
        <v>0</v>
      </c>
      <c r="C188" s="11"/>
      <c r="D188" s="12"/>
      <c r="E188" s="12"/>
      <c r="F188" s="12"/>
      <c r="G188" s="12"/>
      <c r="H188" s="12"/>
      <c r="I188" s="12"/>
      <c r="J188" s="12"/>
      <c r="K188" s="37"/>
      <c r="L188" s="37"/>
      <c r="M188" s="37"/>
      <c r="CB188"/>
    </row>
    <row r="189" spans="1:80" hidden="1" x14ac:dyDescent="0.25">
      <c r="K189" s="45"/>
      <c r="L189" s="45"/>
      <c r="M189" s="45"/>
    </row>
    <row r="190" spans="1:80" hidden="1" x14ac:dyDescent="0.25"/>
    <row r="191" spans="1:80" x14ac:dyDescent="0.25">
      <c r="A191" s="102" t="s">
        <v>86</v>
      </c>
      <c r="B191" s="103"/>
      <c r="C191" s="103"/>
      <c r="D191" s="103"/>
      <c r="E191" s="103"/>
      <c r="F191" s="103"/>
      <c r="G191" s="103"/>
      <c r="H191" s="103"/>
      <c r="I191" s="103"/>
      <c r="J191" s="104"/>
    </row>
    <row r="192" spans="1:80" x14ac:dyDescent="0.25">
      <c r="A192" s="105"/>
      <c r="B192" s="106"/>
      <c r="C192" s="106"/>
      <c r="D192" s="106"/>
      <c r="E192" s="106"/>
      <c r="F192" s="106"/>
      <c r="G192" s="106"/>
      <c r="H192" s="106"/>
      <c r="I192" s="106"/>
      <c r="J192" s="107"/>
    </row>
    <row r="193" spans="1:80" x14ac:dyDescent="0.25">
      <c r="A193" s="108"/>
      <c r="B193" s="109"/>
      <c r="C193" s="109"/>
      <c r="D193" s="109"/>
      <c r="E193" s="109"/>
      <c r="F193" s="109"/>
      <c r="G193" s="109"/>
      <c r="H193" s="109"/>
      <c r="I193" s="109"/>
      <c r="J193" s="110"/>
    </row>
    <row r="194" spans="1:80" s="8" customFormat="1" ht="15.95" customHeight="1" thickBot="1" x14ac:dyDescent="0.3">
      <c r="A194" s="112" t="s">
        <v>87</v>
      </c>
      <c r="B194" s="112"/>
      <c r="C194" s="146"/>
      <c r="D194" s="146"/>
      <c r="E194" s="146"/>
      <c r="F194" s="146"/>
      <c r="G194" s="146"/>
      <c r="H194" s="146"/>
      <c r="I194" s="146"/>
      <c r="J194" s="146"/>
      <c r="K194" s="34"/>
      <c r="L194" s="34"/>
      <c r="M194" s="34"/>
      <c r="N194" s="18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6"/>
      <c r="BO194" s="6"/>
      <c r="BP194" s="6"/>
      <c r="BQ194" s="6"/>
      <c r="BR194" s="6"/>
      <c r="BS194" s="6"/>
      <c r="BT194" s="6"/>
      <c r="BU194" s="6"/>
      <c r="BV194" s="6"/>
      <c r="BW194" s="6"/>
      <c r="BX194" s="6"/>
      <c r="BY194" s="6"/>
      <c r="BZ194" s="6"/>
      <c r="CA194" s="6"/>
      <c r="CB194" s="6"/>
    </row>
    <row r="195" spans="1:80" x14ac:dyDescent="0.25">
      <c r="A195" s="48" t="s">
        <v>12</v>
      </c>
      <c r="B195" s="62" t="s">
        <v>8</v>
      </c>
      <c r="C195" s="15" t="s">
        <v>0</v>
      </c>
      <c r="D195" s="24" t="s">
        <v>1</v>
      </c>
      <c r="E195" s="24" t="s">
        <v>2</v>
      </c>
      <c r="F195" s="24" t="s">
        <v>3</v>
      </c>
      <c r="G195" s="24" t="s">
        <v>4</v>
      </c>
      <c r="H195" s="24" t="s">
        <v>5</v>
      </c>
      <c r="I195" s="24" t="s">
        <v>30</v>
      </c>
      <c r="J195" s="24" t="s">
        <v>39</v>
      </c>
      <c r="K195" s="39"/>
      <c r="L195" s="39"/>
      <c r="M195" s="39"/>
    </row>
    <row r="196" spans="1:80" ht="15.75" thickBot="1" x14ac:dyDescent="0.3">
      <c r="A196" s="51" t="s">
        <v>106</v>
      </c>
      <c r="B196" s="5">
        <f>SUM(N196:AX196)</f>
        <v>1</v>
      </c>
      <c r="C196" s="23" t="s">
        <v>105</v>
      </c>
      <c r="D196" s="25"/>
      <c r="E196" s="25" t="s">
        <v>105</v>
      </c>
      <c r="F196" s="25"/>
      <c r="G196" s="25"/>
      <c r="H196" s="25"/>
      <c r="I196" s="25"/>
      <c r="J196" s="25"/>
      <c r="K196" s="37"/>
      <c r="L196" s="37"/>
      <c r="M196" s="37"/>
      <c r="U196" s="101">
        <v>1</v>
      </c>
    </row>
    <row r="197" spans="1:80" hidden="1" x14ac:dyDescent="0.25">
      <c r="A197" s="51"/>
      <c r="B197" s="5">
        <f>SUM(N197:AX197)</f>
        <v>0</v>
      </c>
      <c r="C197" s="23"/>
      <c r="D197" s="25"/>
      <c r="E197" s="25"/>
      <c r="F197" s="25"/>
      <c r="G197" s="25"/>
      <c r="H197" s="25"/>
      <c r="I197" s="25"/>
      <c r="J197" s="25"/>
      <c r="K197" s="37"/>
      <c r="L197" s="37"/>
      <c r="M197" s="37"/>
    </row>
    <row r="198" spans="1:80" hidden="1" x14ac:dyDescent="0.25">
      <c r="A198" s="51"/>
      <c r="B198" s="5">
        <f>SUM(N198:AX198)</f>
        <v>0</v>
      </c>
      <c r="C198" s="23"/>
      <c r="D198" s="25"/>
      <c r="E198" s="25"/>
      <c r="F198" s="25"/>
      <c r="G198" s="25"/>
      <c r="H198" s="25"/>
      <c r="I198" s="25"/>
      <c r="J198" s="25"/>
      <c r="K198" s="37"/>
      <c r="L198" s="37"/>
      <c r="M198" s="37"/>
    </row>
    <row r="199" spans="1:80" hidden="1" x14ac:dyDescent="0.25">
      <c r="A199" s="51"/>
      <c r="B199" s="5">
        <f>SUM(N199:AX199)</f>
        <v>0</v>
      </c>
      <c r="C199" s="23"/>
      <c r="D199" s="25"/>
      <c r="E199" s="25"/>
      <c r="F199" s="25"/>
      <c r="G199" s="25"/>
      <c r="H199" s="25"/>
      <c r="I199" s="25"/>
      <c r="J199" s="25"/>
      <c r="K199" s="37"/>
      <c r="L199" s="37"/>
      <c r="M199" s="37"/>
    </row>
    <row r="200" spans="1:80" ht="15.75" hidden="1" thickBot="1" x14ac:dyDescent="0.3">
      <c r="A200" s="51"/>
      <c r="B200" s="5">
        <f>SUM(N200:AX200)</f>
        <v>0</v>
      </c>
      <c r="C200" s="23"/>
      <c r="D200" s="25"/>
      <c r="E200" s="25"/>
      <c r="F200" s="25"/>
      <c r="G200" s="25"/>
      <c r="H200" s="25"/>
      <c r="I200" s="25"/>
      <c r="J200" s="25"/>
      <c r="K200" s="37"/>
      <c r="L200" s="37"/>
      <c r="M200" s="37"/>
    </row>
    <row r="201" spans="1:80" ht="15.75" thickBot="1" x14ac:dyDescent="0.3">
      <c r="A201" s="49" t="s">
        <v>13</v>
      </c>
      <c r="B201" s="10">
        <f>SUM(B196:B200)</f>
        <v>1</v>
      </c>
      <c r="C201" s="11"/>
      <c r="D201" s="12"/>
      <c r="E201" s="12"/>
      <c r="F201" s="12"/>
      <c r="G201" s="12"/>
      <c r="H201" s="12"/>
      <c r="I201" s="12"/>
      <c r="J201" s="12"/>
      <c r="K201" s="37"/>
      <c r="L201" s="37"/>
      <c r="M201" s="37"/>
    </row>
    <row r="204" spans="1:80" x14ac:dyDescent="0.25">
      <c r="A204" s="102" t="s">
        <v>107</v>
      </c>
      <c r="B204" s="103"/>
      <c r="C204" s="103"/>
      <c r="D204" s="103"/>
      <c r="E204" s="103"/>
      <c r="F204" s="103"/>
      <c r="G204" s="103"/>
      <c r="H204" s="103"/>
      <c r="I204" s="103"/>
      <c r="J204" s="104"/>
    </row>
    <row r="205" spans="1:80" x14ac:dyDescent="0.25">
      <c r="A205" s="105"/>
      <c r="B205" s="106"/>
      <c r="C205" s="106"/>
      <c r="D205" s="106"/>
      <c r="E205" s="106"/>
      <c r="F205" s="106"/>
      <c r="G205" s="106"/>
      <c r="H205" s="106"/>
      <c r="I205" s="106"/>
      <c r="J205" s="107"/>
    </row>
    <row r="206" spans="1:80" x14ac:dyDescent="0.25">
      <c r="A206" s="108"/>
      <c r="B206" s="109"/>
      <c r="C206" s="109"/>
      <c r="D206" s="109"/>
      <c r="E206" s="109"/>
      <c r="F206" s="109"/>
      <c r="G206" s="109"/>
      <c r="H206" s="109"/>
      <c r="I206" s="109"/>
      <c r="J206" s="110"/>
    </row>
    <row r="207" spans="1:80" s="8" customFormat="1" ht="15.95" customHeight="1" thickBot="1" x14ac:dyDescent="0.3">
      <c r="A207" s="112" t="s">
        <v>170</v>
      </c>
      <c r="B207" s="112"/>
      <c r="C207" s="112"/>
      <c r="D207" s="112"/>
      <c r="E207" s="112"/>
      <c r="F207" s="112"/>
      <c r="G207" s="112"/>
      <c r="H207" s="112"/>
      <c r="I207" s="112"/>
      <c r="J207" s="112"/>
      <c r="K207" s="34"/>
      <c r="L207" s="34"/>
      <c r="M207" s="34"/>
      <c r="N207" s="18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  <c r="BL207" s="6"/>
      <c r="BM207" s="6"/>
      <c r="BN207" s="6"/>
      <c r="BO207" s="6"/>
      <c r="BP207" s="6"/>
      <c r="BQ207" s="6"/>
      <c r="BR207" s="6"/>
      <c r="BS207" s="6"/>
      <c r="BT207" s="6"/>
      <c r="BU207" s="6"/>
      <c r="BV207" s="6"/>
      <c r="BW207" s="6"/>
      <c r="BX207" s="6"/>
      <c r="BY207" s="6"/>
      <c r="BZ207" s="6"/>
      <c r="CA207" s="6"/>
      <c r="CB207" s="6"/>
    </row>
    <row r="208" spans="1:80" x14ac:dyDescent="0.25">
      <c r="A208" s="48" t="s">
        <v>12</v>
      </c>
      <c r="B208" s="62" t="s">
        <v>8</v>
      </c>
      <c r="C208" s="15" t="s">
        <v>9</v>
      </c>
      <c r="D208" s="14"/>
      <c r="E208" s="12"/>
      <c r="F208" s="26"/>
      <c r="G208" s="26"/>
      <c r="H208" s="26"/>
      <c r="I208" s="26"/>
      <c r="J208" s="26"/>
      <c r="K208" s="34"/>
      <c r="L208" s="34"/>
      <c r="M208" s="34"/>
    </row>
    <row r="209" spans="1:80" x14ac:dyDescent="0.25">
      <c r="A209" s="51"/>
      <c r="B209" s="5">
        <f t="shared" ref="B209:B216" si="22">SUM(N209:AX209)</f>
        <v>12</v>
      </c>
      <c r="C209" s="23" t="s">
        <v>0</v>
      </c>
      <c r="D209" s="12"/>
      <c r="E209" s="7"/>
      <c r="F209" s="12"/>
      <c r="G209" s="12"/>
      <c r="H209" s="12"/>
      <c r="I209" s="12"/>
      <c r="J209" s="12"/>
      <c r="K209" s="37"/>
      <c r="L209" s="37"/>
      <c r="M209" s="37"/>
      <c r="S209" s="97">
        <v>2</v>
      </c>
      <c r="T209" s="97">
        <v>10</v>
      </c>
    </row>
    <row r="210" spans="1:80" ht="15.75" customHeight="1" x14ac:dyDescent="0.25">
      <c r="A210" s="51"/>
      <c r="B210" s="5">
        <f t="shared" si="22"/>
        <v>12</v>
      </c>
      <c r="C210" s="23" t="s">
        <v>1</v>
      </c>
      <c r="D210" s="12"/>
      <c r="E210" s="7"/>
      <c r="F210" s="12"/>
      <c r="G210" s="12"/>
      <c r="H210" s="12"/>
      <c r="I210" s="12"/>
      <c r="J210" s="12"/>
      <c r="K210" s="37"/>
      <c r="L210" s="37"/>
      <c r="M210" s="37"/>
      <c r="S210" s="97">
        <v>2</v>
      </c>
      <c r="T210" s="97">
        <v>10</v>
      </c>
    </row>
    <row r="211" spans="1:80" ht="15.75" thickBot="1" x14ac:dyDescent="0.3">
      <c r="A211" s="51"/>
      <c r="B211" s="5">
        <f t="shared" si="22"/>
        <v>12</v>
      </c>
      <c r="C211" s="23" t="s">
        <v>2</v>
      </c>
      <c r="D211" s="12"/>
      <c r="E211" s="7"/>
      <c r="F211" s="12"/>
      <c r="G211" s="12"/>
      <c r="H211" s="12"/>
      <c r="I211" s="12"/>
      <c r="J211" s="12"/>
      <c r="K211" s="37"/>
      <c r="L211" s="37"/>
      <c r="M211" s="37"/>
      <c r="S211" s="97">
        <v>2</v>
      </c>
      <c r="T211" s="97">
        <v>10</v>
      </c>
    </row>
    <row r="212" spans="1:80" hidden="1" x14ac:dyDescent="0.25">
      <c r="A212" s="51"/>
      <c r="B212" s="5">
        <f t="shared" si="22"/>
        <v>0</v>
      </c>
      <c r="C212" s="23" t="s">
        <v>3</v>
      </c>
      <c r="D212" s="12"/>
      <c r="E212" s="7"/>
      <c r="F212" s="12"/>
      <c r="G212" s="12"/>
      <c r="H212" s="12"/>
      <c r="I212" s="12"/>
      <c r="J212" s="12"/>
      <c r="K212" s="37"/>
      <c r="L212" s="37"/>
      <c r="M212" s="37"/>
    </row>
    <row r="213" spans="1:80" hidden="1" x14ac:dyDescent="0.25">
      <c r="A213" s="51"/>
      <c r="B213" s="5">
        <f t="shared" si="22"/>
        <v>0</v>
      </c>
      <c r="C213" s="23" t="s">
        <v>4</v>
      </c>
      <c r="D213" s="12"/>
      <c r="E213" s="7"/>
      <c r="F213" s="12"/>
      <c r="G213" s="12"/>
      <c r="H213" s="12"/>
      <c r="I213" s="12"/>
      <c r="J213" s="12"/>
      <c r="K213" s="37"/>
      <c r="L213" s="37"/>
      <c r="M213" s="37"/>
    </row>
    <row r="214" spans="1:80" hidden="1" x14ac:dyDescent="0.25">
      <c r="A214" s="51"/>
      <c r="B214" s="5">
        <f t="shared" si="22"/>
        <v>0</v>
      </c>
      <c r="C214" s="23" t="s">
        <v>5</v>
      </c>
      <c r="D214" s="12"/>
      <c r="E214" s="7"/>
      <c r="F214" s="12"/>
      <c r="G214" s="12"/>
      <c r="H214" s="12"/>
      <c r="I214" s="12"/>
      <c r="J214" s="12"/>
      <c r="K214" s="37"/>
      <c r="L214" s="37"/>
      <c r="M214" s="37"/>
    </row>
    <row r="215" spans="1:80" s="1" customFormat="1" hidden="1" x14ac:dyDescent="0.25">
      <c r="A215" s="51"/>
      <c r="B215" s="5">
        <f t="shared" si="22"/>
        <v>0</v>
      </c>
      <c r="C215" s="27" t="s">
        <v>30</v>
      </c>
      <c r="D215" s="13"/>
      <c r="E215" s="58"/>
      <c r="F215" s="13"/>
      <c r="G215" s="13"/>
      <c r="H215" s="13"/>
      <c r="I215" s="13"/>
      <c r="J215" s="13"/>
      <c r="K215" s="43"/>
      <c r="L215" s="43"/>
      <c r="M215" s="43"/>
      <c r="N215" s="93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  <c r="AC215" s="29"/>
      <c r="AD215" s="29"/>
      <c r="AE215" s="29"/>
      <c r="AF215" s="29"/>
      <c r="AG215" s="29"/>
      <c r="AH215" s="29"/>
      <c r="AI215" s="29"/>
      <c r="AJ215" s="29"/>
      <c r="AK215" s="29"/>
      <c r="AL215" s="29"/>
      <c r="AM215" s="29"/>
      <c r="AN215" s="29"/>
      <c r="AO215" s="29"/>
      <c r="AP215" s="29"/>
      <c r="AQ215" s="29"/>
      <c r="AR215" s="29"/>
      <c r="AS215" s="29"/>
      <c r="AT215" s="29"/>
      <c r="AU215" s="29"/>
      <c r="AV215" s="29"/>
      <c r="AW215" s="29"/>
      <c r="AX215" s="29"/>
      <c r="AY215" s="29"/>
      <c r="AZ215" s="29"/>
      <c r="BA215" s="29"/>
      <c r="BB215" s="29"/>
      <c r="BC215" s="29"/>
      <c r="BD215" s="29"/>
      <c r="BE215" s="29"/>
      <c r="BF215" s="29"/>
      <c r="BG215" s="29"/>
      <c r="BH215" s="29"/>
      <c r="BI215" s="29"/>
      <c r="BJ215" s="29"/>
      <c r="BK215" s="29"/>
      <c r="BL215" s="29"/>
      <c r="BM215" s="29"/>
      <c r="BN215" s="29"/>
      <c r="BO215" s="29"/>
      <c r="BP215" s="29"/>
      <c r="BQ215" s="29"/>
      <c r="BR215" s="29"/>
      <c r="BS215" s="29"/>
      <c r="BT215" s="29"/>
      <c r="BU215" s="29"/>
      <c r="BV215" s="29"/>
      <c r="BW215" s="29"/>
      <c r="BX215" s="29"/>
      <c r="BY215" s="29"/>
      <c r="BZ215" s="29"/>
      <c r="CA215" s="29"/>
      <c r="CB215" s="29"/>
    </row>
    <row r="216" spans="1:80" ht="15.75" hidden="1" thickBot="1" x14ac:dyDescent="0.3">
      <c r="A216" s="51"/>
      <c r="B216" s="5">
        <f t="shared" si="22"/>
        <v>0</v>
      </c>
      <c r="C216" s="20" t="s">
        <v>39</v>
      </c>
      <c r="D216" s="12"/>
      <c r="E216" s="7"/>
      <c r="F216" s="12"/>
      <c r="G216" s="12"/>
      <c r="H216" s="12"/>
      <c r="I216" s="12"/>
      <c r="J216" s="12"/>
      <c r="K216" s="37"/>
      <c r="L216" s="37"/>
      <c r="M216" s="37"/>
    </row>
    <row r="217" spans="1:80" ht="16.5" customHeight="1" thickBot="1" x14ac:dyDescent="0.3">
      <c r="A217" s="49" t="s">
        <v>13</v>
      </c>
      <c r="B217" s="10">
        <f>SUM(B209:B216)</f>
        <v>36</v>
      </c>
      <c r="C217" s="17"/>
      <c r="D217" s="12"/>
      <c r="E217" s="7"/>
      <c r="F217" s="12"/>
      <c r="G217" s="12"/>
      <c r="H217" s="12"/>
      <c r="I217" s="12"/>
      <c r="J217" s="12"/>
      <c r="K217" s="37"/>
      <c r="L217" s="37"/>
      <c r="M217" s="37"/>
    </row>
    <row r="218" spans="1:80" x14ac:dyDescent="0.25">
      <c r="A218" s="50"/>
      <c r="B218" s="16"/>
      <c r="C218" s="17"/>
      <c r="D218" s="12"/>
      <c r="E218" s="7"/>
      <c r="F218" s="12"/>
      <c r="G218" s="12"/>
      <c r="H218" s="12"/>
      <c r="I218" s="12"/>
      <c r="J218" s="12"/>
      <c r="K218" s="37"/>
      <c r="L218" s="37"/>
      <c r="M218" s="37"/>
    </row>
    <row r="219" spans="1:80" s="8" customFormat="1" ht="15.95" customHeight="1" thickBot="1" x14ac:dyDescent="0.3">
      <c r="A219" s="112" t="s">
        <v>26</v>
      </c>
      <c r="B219" s="112"/>
      <c r="C219" s="112"/>
      <c r="D219" s="112"/>
      <c r="E219" s="112"/>
      <c r="F219" s="112"/>
      <c r="G219" s="112"/>
      <c r="H219" s="112"/>
      <c r="I219" s="112"/>
      <c r="J219" s="112"/>
      <c r="K219" s="34"/>
      <c r="L219" s="34"/>
      <c r="M219" s="34"/>
      <c r="N219" s="18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6"/>
      <c r="BL219" s="6"/>
      <c r="BM219" s="6"/>
      <c r="BN219" s="6"/>
      <c r="BO219" s="6"/>
      <c r="BP219" s="6"/>
      <c r="BQ219" s="6"/>
      <c r="BR219" s="6"/>
      <c r="BS219" s="6"/>
      <c r="BT219" s="6"/>
      <c r="BU219" s="6"/>
      <c r="BV219" s="6"/>
      <c r="BW219" s="6"/>
      <c r="BX219" s="6"/>
      <c r="BY219" s="6"/>
      <c r="BZ219" s="6"/>
      <c r="CA219" s="6"/>
      <c r="CB219" s="6"/>
    </row>
    <row r="220" spans="1:80" x14ac:dyDescent="0.25">
      <c r="A220" s="48" t="s">
        <v>12</v>
      </c>
      <c r="B220" s="62" t="s">
        <v>8</v>
      </c>
      <c r="C220" s="14"/>
      <c r="D220" s="14"/>
      <c r="E220" s="7"/>
      <c r="F220" s="12"/>
      <c r="G220" s="12"/>
      <c r="H220" s="12"/>
      <c r="I220" s="12"/>
      <c r="J220" s="12"/>
      <c r="K220" s="37"/>
      <c r="L220" s="37"/>
      <c r="M220" s="37"/>
    </row>
    <row r="221" spans="1:80" ht="15.75" thickBot="1" x14ac:dyDescent="0.3">
      <c r="A221" s="51"/>
      <c r="B221" s="5">
        <f>B211</f>
        <v>12</v>
      </c>
      <c r="C221" s="12"/>
      <c r="D221" s="12"/>
      <c r="E221" s="7"/>
      <c r="F221" s="12"/>
      <c r="G221" s="12"/>
      <c r="H221" s="12"/>
      <c r="I221" s="12"/>
      <c r="J221" s="12"/>
      <c r="K221" s="37"/>
      <c r="L221" s="37"/>
      <c r="M221" s="37"/>
    </row>
    <row r="222" spans="1:80" ht="15.75" thickBot="1" x14ac:dyDescent="0.3">
      <c r="A222" s="49" t="s">
        <v>13</v>
      </c>
      <c r="B222" s="10">
        <f>SUM(B221)</f>
        <v>12</v>
      </c>
      <c r="C222" s="11"/>
      <c r="D222" s="12"/>
      <c r="E222" s="7"/>
      <c r="F222" s="12"/>
      <c r="G222" s="12"/>
      <c r="H222" s="12"/>
      <c r="I222" s="12"/>
      <c r="J222" s="12"/>
      <c r="K222" s="37"/>
      <c r="L222" s="37"/>
      <c r="M222" s="37"/>
    </row>
    <row r="224" spans="1:80" x14ac:dyDescent="0.25">
      <c r="A224" s="102" t="s">
        <v>169</v>
      </c>
      <c r="B224" s="103"/>
      <c r="C224" s="103"/>
      <c r="D224" s="103"/>
      <c r="E224" s="103"/>
      <c r="F224" s="103"/>
      <c r="G224" s="103"/>
      <c r="H224" s="103"/>
      <c r="I224" s="103"/>
      <c r="J224" s="104"/>
    </row>
    <row r="225" spans="1:80" x14ac:dyDescent="0.25">
      <c r="A225" s="105"/>
      <c r="B225" s="106"/>
      <c r="C225" s="106"/>
      <c r="D225" s="106"/>
      <c r="E225" s="106"/>
      <c r="F225" s="106"/>
      <c r="G225" s="106"/>
      <c r="H225" s="106"/>
      <c r="I225" s="106"/>
      <c r="J225" s="107"/>
    </row>
    <row r="226" spans="1:80" x14ac:dyDescent="0.25">
      <c r="A226" s="108"/>
      <c r="B226" s="109"/>
      <c r="C226" s="109"/>
      <c r="D226" s="109"/>
      <c r="E226" s="109"/>
      <c r="F226" s="109"/>
      <c r="G226" s="109"/>
      <c r="H226" s="109"/>
      <c r="I226" s="109"/>
      <c r="J226" s="110"/>
    </row>
    <row r="227" spans="1:80" s="8" customFormat="1" ht="15.95" customHeight="1" thickBot="1" x14ac:dyDescent="0.3">
      <c r="A227" s="112" t="s">
        <v>171</v>
      </c>
      <c r="B227" s="112"/>
      <c r="C227" s="112"/>
      <c r="D227" s="112"/>
      <c r="E227" s="112"/>
      <c r="F227" s="112"/>
      <c r="G227" s="112"/>
      <c r="H227" s="112"/>
      <c r="I227" s="112"/>
      <c r="J227" s="112"/>
      <c r="K227" s="34"/>
      <c r="L227" s="34"/>
      <c r="M227" s="34"/>
      <c r="N227" s="18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  <c r="BJ227" s="6"/>
      <c r="BK227" s="6"/>
      <c r="BL227" s="6"/>
      <c r="BM227" s="6"/>
      <c r="BN227" s="6"/>
      <c r="BO227" s="6"/>
      <c r="BP227" s="6"/>
      <c r="BQ227" s="6"/>
      <c r="BR227" s="6"/>
      <c r="BS227" s="6"/>
      <c r="BT227" s="6"/>
      <c r="BU227" s="6"/>
      <c r="BV227" s="6"/>
      <c r="BW227" s="6"/>
      <c r="BX227" s="6"/>
      <c r="BY227" s="6"/>
      <c r="BZ227" s="6"/>
      <c r="CA227" s="6"/>
      <c r="CB227" s="6"/>
    </row>
    <row r="228" spans="1:80" x14ac:dyDescent="0.25">
      <c r="A228" s="48" t="s">
        <v>12</v>
      </c>
      <c r="B228" s="62" t="s">
        <v>8</v>
      </c>
      <c r="C228" s="15" t="s">
        <v>9</v>
      </c>
      <c r="D228" s="14"/>
      <c r="E228" s="12"/>
      <c r="F228" s="26"/>
      <c r="G228" s="26"/>
      <c r="H228" s="26"/>
      <c r="I228" s="26"/>
      <c r="J228" s="26"/>
      <c r="K228" s="34"/>
      <c r="L228" s="34"/>
      <c r="M228" s="34"/>
    </row>
    <row r="229" spans="1:80" x14ac:dyDescent="0.25">
      <c r="A229" s="51"/>
      <c r="B229" s="5">
        <f>SUM(N229:BN229)</f>
        <v>223</v>
      </c>
      <c r="C229" s="23" t="s">
        <v>0</v>
      </c>
      <c r="D229" s="12"/>
      <c r="E229" s="7"/>
      <c r="F229" s="12"/>
      <c r="G229" s="12"/>
      <c r="H229" s="12"/>
      <c r="I229" s="12"/>
      <c r="J229" s="12"/>
      <c r="K229" s="37"/>
      <c r="L229" s="37"/>
      <c r="M229" s="37"/>
      <c r="BN229" s="28">
        <f>(34*5)+30+23</f>
        <v>223</v>
      </c>
    </row>
    <row r="230" spans="1:80" ht="15.75" customHeight="1" x14ac:dyDescent="0.25">
      <c r="A230" s="51"/>
      <c r="B230" s="5">
        <f t="shared" ref="B230:B231" si="23">SUM(N230:BN230)</f>
        <v>223</v>
      </c>
      <c r="C230" s="23" t="s">
        <v>1</v>
      </c>
      <c r="D230" s="12"/>
      <c r="E230" s="7"/>
      <c r="F230" s="12"/>
      <c r="G230" s="12"/>
      <c r="H230" s="12"/>
      <c r="I230" s="12"/>
      <c r="J230" s="12"/>
      <c r="K230" s="37"/>
      <c r="L230" s="37"/>
      <c r="M230" s="37"/>
      <c r="BN230" s="28">
        <f t="shared" ref="BN230:BN231" si="24">(34*5)+30+23</f>
        <v>223</v>
      </c>
    </row>
    <row r="231" spans="1:80" ht="15.75" thickBot="1" x14ac:dyDescent="0.3">
      <c r="A231" s="51"/>
      <c r="B231" s="5">
        <f t="shared" si="23"/>
        <v>223</v>
      </c>
      <c r="C231" s="23" t="s">
        <v>2</v>
      </c>
      <c r="D231" s="12"/>
      <c r="E231" s="7"/>
      <c r="F231" s="12"/>
      <c r="G231" s="12"/>
      <c r="H231" s="12"/>
      <c r="I231" s="12"/>
      <c r="J231" s="12"/>
      <c r="K231" s="37"/>
      <c r="L231" s="37"/>
      <c r="M231" s="37"/>
      <c r="BN231" s="28">
        <f t="shared" si="24"/>
        <v>223</v>
      </c>
    </row>
    <row r="232" spans="1:80" ht="15.75" hidden="1" thickBot="1" x14ac:dyDescent="0.3">
      <c r="A232" s="51"/>
      <c r="B232" s="5">
        <f t="shared" ref="B232:B236" si="25">SUM(N232:AX232)</f>
        <v>0</v>
      </c>
      <c r="C232" s="23" t="s">
        <v>3</v>
      </c>
      <c r="D232" s="12"/>
      <c r="E232" s="7"/>
      <c r="F232" s="12"/>
      <c r="G232" s="12"/>
      <c r="H232" s="12"/>
      <c r="I232" s="12"/>
      <c r="J232" s="12"/>
      <c r="K232" s="37"/>
      <c r="L232" s="37"/>
      <c r="M232" s="37"/>
    </row>
    <row r="233" spans="1:80" ht="15.75" hidden="1" thickBot="1" x14ac:dyDescent="0.3">
      <c r="A233" s="51"/>
      <c r="B233" s="5">
        <f t="shared" si="25"/>
        <v>0</v>
      </c>
      <c r="C233" s="23" t="s">
        <v>4</v>
      </c>
      <c r="D233" s="12"/>
      <c r="E233" s="7"/>
      <c r="F233" s="12"/>
      <c r="G233" s="12"/>
      <c r="H233" s="12"/>
      <c r="I233" s="12"/>
      <c r="J233" s="12"/>
      <c r="K233" s="37"/>
      <c r="L233" s="37"/>
      <c r="M233" s="37"/>
    </row>
    <row r="234" spans="1:80" ht="15.75" hidden="1" thickBot="1" x14ac:dyDescent="0.3">
      <c r="A234" s="51"/>
      <c r="B234" s="5">
        <f t="shared" si="25"/>
        <v>0</v>
      </c>
      <c r="C234" s="23" t="s">
        <v>5</v>
      </c>
      <c r="D234" s="12"/>
      <c r="E234" s="7"/>
      <c r="F234" s="12"/>
      <c r="G234" s="12"/>
      <c r="H234" s="12"/>
      <c r="I234" s="12"/>
      <c r="J234" s="12"/>
      <c r="K234" s="37"/>
      <c r="L234" s="37"/>
      <c r="M234" s="37"/>
    </row>
    <row r="235" spans="1:80" s="1" customFormat="1" ht="15.75" hidden="1" thickBot="1" x14ac:dyDescent="0.3">
      <c r="A235" s="51"/>
      <c r="B235" s="5">
        <f t="shared" si="25"/>
        <v>0</v>
      </c>
      <c r="C235" s="27" t="s">
        <v>30</v>
      </c>
      <c r="D235" s="13"/>
      <c r="E235" s="58"/>
      <c r="F235" s="13"/>
      <c r="G235" s="13"/>
      <c r="H235" s="13"/>
      <c r="I235" s="13"/>
      <c r="J235" s="13"/>
      <c r="K235" s="43"/>
      <c r="L235" s="43"/>
      <c r="M235" s="43"/>
      <c r="N235" s="93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  <c r="AB235" s="29"/>
      <c r="AC235" s="29"/>
      <c r="AD235" s="29"/>
      <c r="AE235" s="29"/>
      <c r="AF235" s="29"/>
      <c r="AG235" s="29"/>
      <c r="AH235" s="29"/>
      <c r="AI235" s="29"/>
      <c r="AJ235" s="29"/>
      <c r="AK235" s="29"/>
      <c r="AL235" s="29"/>
      <c r="AM235" s="29"/>
      <c r="AN235" s="29"/>
      <c r="AO235" s="29"/>
      <c r="AP235" s="29"/>
      <c r="AQ235" s="29"/>
      <c r="AR235" s="29"/>
      <c r="AS235" s="29"/>
      <c r="AT235" s="29"/>
      <c r="AU235" s="29"/>
      <c r="AV235" s="29"/>
      <c r="AW235" s="29"/>
      <c r="AX235" s="29"/>
      <c r="AY235" s="29"/>
      <c r="AZ235" s="29"/>
      <c r="BA235" s="29"/>
      <c r="BB235" s="29"/>
      <c r="BC235" s="29"/>
      <c r="BD235" s="29"/>
      <c r="BE235" s="29"/>
      <c r="BF235" s="29"/>
      <c r="BG235" s="29"/>
      <c r="BH235" s="29"/>
      <c r="BI235" s="29"/>
      <c r="BJ235" s="29"/>
      <c r="BK235" s="29"/>
      <c r="BL235" s="29"/>
      <c r="BM235" s="29"/>
      <c r="BN235" s="29"/>
      <c r="BO235" s="29"/>
      <c r="BP235" s="29"/>
      <c r="BQ235" s="29"/>
      <c r="BR235" s="29"/>
      <c r="BS235" s="29"/>
      <c r="BT235" s="29"/>
      <c r="BU235" s="29"/>
      <c r="BV235" s="29"/>
      <c r="BW235" s="29"/>
      <c r="BX235" s="29"/>
      <c r="BY235" s="29"/>
      <c r="BZ235" s="29"/>
      <c r="CA235" s="29"/>
      <c r="CB235" s="29"/>
    </row>
    <row r="236" spans="1:80" ht="15.75" hidden="1" thickBot="1" x14ac:dyDescent="0.3">
      <c r="A236" s="51"/>
      <c r="B236" s="5">
        <f t="shared" si="25"/>
        <v>0</v>
      </c>
      <c r="C236" s="20" t="s">
        <v>39</v>
      </c>
      <c r="D236" s="12"/>
      <c r="E236" s="7"/>
      <c r="F236" s="12"/>
      <c r="G236" s="12"/>
      <c r="H236" s="12"/>
      <c r="I236" s="12"/>
      <c r="J236" s="12"/>
      <c r="K236" s="37"/>
      <c r="L236" s="37"/>
      <c r="M236" s="37"/>
    </row>
    <row r="237" spans="1:80" ht="16.5" customHeight="1" thickBot="1" x14ac:dyDescent="0.3">
      <c r="A237" s="49" t="s">
        <v>13</v>
      </c>
      <c r="B237" s="10">
        <f>SUM(B229:B236)</f>
        <v>669</v>
      </c>
      <c r="C237" s="17"/>
      <c r="D237" s="12"/>
      <c r="E237" s="7"/>
      <c r="F237" s="12"/>
      <c r="G237" s="12"/>
      <c r="H237" s="12"/>
      <c r="I237" s="12"/>
      <c r="J237" s="12"/>
      <c r="K237" s="37"/>
      <c r="L237" s="37"/>
      <c r="M237" s="37"/>
    </row>
    <row r="238" spans="1:80" x14ac:dyDescent="0.25">
      <c r="A238" s="50"/>
      <c r="B238" s="16"/>
      <c r="C238" s="17"/>
      <c r="D238" s="12"/>
      <c r="E238" s="7"/>
      <c r="F238" s="12"/>
      <c r="G238" s="12"/>
      <c r="H238" s="12"/>
      <c r="I238" s="12"/>
      <c r="J238" s="12"/>
      <c r="K238" s="37"/>
      <c r="L238" s="37"/>
      <c r="M238" s="37"/>
    </row>
    <row r="239" spans="1:80" s="8" customFormat="1" ht="15.95" customHeight="1" thickBot="1" x14ac:dyDescent="0.3">
      <c r="A239" s="112" t="s">
        <v>26</v>
      </c>
      <c r="B239" s="112"/>
      <c r="C239" s="112"/>
      <c r="D239" s="112"/>
      <c r="E239" s="112"/>
      <c r="F239" s="112"/>
      <c r="G239" s="112"/>
      <c r="H239" s="112"/>
      <c r="I239" s="112"/>
      <c r="J239" s="112"/>
      <c r="K239" s="34"/>
      <c r="L239" s="34"/>
      <c r="M239" s="34"/>
      <c r="N239" s="18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  <c r="BJ239" s="6"/>
      <c r="BK239" s="6"/>
      <c r="BL239" s="6"/>
      <c r="BM239" s="6"/>
      <c r="BN239" s="6"/>
      <c r="BO239" s="6"/>
      <c r="BP239" s="6"/>
      <c r="BQ239" s="6"/>
      <c r="BR239" s="6"/>
      <c r="BS239" s="6"/>
      <c r="BT239" s="6"/>
      <c r="BU239" s="6"/>
      <c r="BV239" s="6"/>
      <c r="BW239" s="6"/>
      <c r="BX239" s="6"/>
      <c r="BY239" s="6"/>
      <c r="BZ239" s="6"/>
      <c r="CA239" s="6"/>
      <c r="CB239" s="6"/>
    </row>
    <row r="240" spans="1:80" x14ac:dyDescent="0.25">
      <c r="A240" s="48" t="s">
        <v>12</v>
      </c>
      <c r="B240" s="62" t="s">
        <v>8</v>
      </c>
      <c r="C240" s="14"/>
      <c r="D240" s="14"/>
      <c r="E240" s="7"/>
      <c r="F240" s="12"/>
      <c r="G240" s="12"/>
      <c r="H240" s="12"/>
      <c r="I240" s="12"/>
      <c r="J240" s="12"/>
      <c r="K240" s="37"/>
      <c r="L240" s="37"/>
      <c r="M240" s="37"/>
    </row>
    <row r="241" spans="1:80" ht="15.75" thickBot="1" x14ac:dyDescent="0.3">
      <c r="A241" s="51"/>
      <c r="B241" s="5">
        <f>B231</f>
        <v>223</v>
      </c>
      <c r="C241" s="12"/>
      <c r="D241" s="12"/>
      <c r="E241" s="7"/>
      <c r="F241" s="12"/>
      <c r="G241" s="12"/>
      <c r="H241" s="12"/>
      <c r="I241" s="12"/>
      <c r="J241" s="12"/>
      <c r="K241" s="37"/>
      <c r="L241" s="37"/>
      <c r="M241" s="37"/>
    </row>
    <row r="242" spans="1:80" ht="15.75" thickBot="1" x14ac:dyDescent="0.3">
      <c r="A242" s="49" t="s">
        <v>13</v>
      </c>
      <c r="B242" s="10">
        <f>SUM(B241)</f>
        <v>223</v>
      </c>
      <c r="C242" s="11"/>
      <c r="D242" s="12"/>
      <c r="E242" s="7"/>
      <c r="F242" s="12"/>
      <c r="G242" s="12"/>
      <c r="H242" s="12"/>
      <c r="I242" s="12"/>
      <c r="J242" s="12"/>
      <c r="K242" s="37"/>
      <c r="L242" s="37"/>
      <c r="M242" s="37"/>
    </row>
    <row r="243" spans="1:80" x14ac:dyDescent="0.25">
      <c r="A243" s="50"/>
      <c r="B243" s="16"/>
      <c r="C243" s="11"/>
      <c r="D243" s="12"/>
      <c r="E243" s="7"/>
      <c r="F243" s="12"/>
      <c r="G243" s="12"/>
      <c r="H243" s="12"/>
      <c r="I243" s="12"/>
      <c r="J243" s="12"/>
      <c r="K243" s="37"/>
      <c r="L243" s="37"/>
      <c r="M243" s="37"/>
    </row>
    <row r="244" spans="1:80" x14ac:dyDescent="0.25">
      <c r="A244" s="156" t="s">
        <v>182</v>
      </c>
      <c r="B244" s="157"/>
      <c r="C244" s="157"/>
      <c r="D244" s="157"/>
      <c r="E244" s="157"/>
      <c r="F244" s="157"/>
      <c r="G244" s="157"/>
      <c r="H244" s="157"/>
      <c r="I244" s="157"/>
      <c r="J244" s="158"/>
    </row>
    <row r="245" spans="1:80" x14ac:dyDescent="0.25">
      <c r="A245" s="159"/>
      <c r="B245" s="160"/>
      <c r="C245" s="160"/>
      <c r="D245" s="160"/>
      <c r="E245" s="160"/>
      <c r="F245" s="160"/>
      <c r="G245" s="160"/>
      <c r="H245" s="160"/>
      <c r="I245" s="160"/>
      <c r="J245" s="161"/>
    </row>
    <row r="246" spans="1:80" x14ac:dyDescent="0.25">
      <c r="A246" s="162"/>
      <c r="B246" s="163"/>
      <c r="C246" s="163"/>
      <c r="D246" s="163"/>
      <c r="E246" s="163"/>
      <c r="F246" s="163"/>
      <c r="G246" s="163"/>
      <c r="H246" s="163"/>
      <c r="I246" s="163"/>
      <c r="J246" s="164"/>
    </row>
    <row r="247" spans="1:80" s="8" customFormat="1" ht="15.95" customHeight="1" thickBot="1" x14ac:dyDescent="0.3">
      <c r="A247" s="112" t="s">
        <v>31</v>
      </c>
      <c r="B247" s="112"/>
      <c r="C247" s="112"/>
      <c r="D247" s="112"/>
      <c r="E247" s="112"/>
      <c r="F247" s="112"/>
      <c r="G247" s="112"/>
      <c r="H247" s="112"/>
      <c r="I247" s="112"/>
      <c r="J247" s="112"/>
      <c r="K247" s="34"/>
      <c r="L247" s="34"/>
      <c r="M247" s="34"/>
      <c r="N247" s="18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  <c r="BJ247" s="6"/>
      <c r="BK247" s="6"/>
      <c r="BL247" s="6"/>
      <c r="BM247" s="6"/>
      <c r="BN247" s="6"/>
      <c r="BO247" s="6"/>
      <c r="BP247" s="6"/>
      <c r="BQ247" s="6"/>
      <c r="BR247" s="6"/>
      <c r="BS247" s="6"/>
      <c r="BT247" s="6"/>
      <c r="BU247" s="6"/>
      <c r="BV247" s="6"/>
      <c r="BW247" s="6"/>
      <c r="BX247" s="6"/>
      <c r="BY247" s="6"/>
      <c r="BZ247" s="6"/>
      <c r="CA247" s="6"/>
      <c r="CB247" s="6"/>
    </row>
    <row r="248" spans="1:80" x14ac:dyDescent="0.25">
      <c r="A248" s="48" t="s">
        <v>12</v>
      </c>
      <c r="B248" s="62" t="s">
        <v>8</v>
      </c>
      <c r="C248" s="15" t="s">
        <v>10</v>
      </c>
      <c r="D248" s="14"/>
      <c r="E248" s="7"/>
      <c r="F248" s="26"/>
      <c r="G248" s="26"/>
      <c r="H248" s="26"/>
      <c r="I248" s="26"/>
      <c r="J248" s="26"/>
      <c r="K248" s="34"/>
      <c r="L248" s="34"/>
      <c r="M248" s="34"/>
    </row>
    <row r="249" spans="1:80" hidden="1" x14ac:dyDescent="0.25">
      <c r="A249" s="51"/>
      <c r="B249" s="5">
        <f>SUM(N249:CX249)</f>
        <v>0</v>
      </c>
      <c r="C249" s="23" t="s">
        <v>15</v>
      </c>
      <c r="D249" s="12"/>
      <c r="E249" s="7"/>
      <c r="F249" s="12"/>
      <c r="G249" s="12"/>
      <c r="H249" s="12"/>
      <c r="I249" s="12"/>
      <c r="J249" s="12"/>
      <c r="K249" s="37"/>
      <c r="L249" s="37"/>
      <c r="M249" s="37"/>
      <c r="W249" s="101"/>
      <c r="Y249" s="101"/>
      <c r="AA249" s="101"/>
      <c r="AC249" s="101"/>
      <c r="AE249" s="101"/>
      <c r="AI249" s="101"/>
      <c r="AM249" s="101"/>
      <c r="AO249" s="101"/>
      <c r="AQ249" s="101"/>
      <c r="AS249" s="101"/>
      <c r="AU249" s="101"/>
      <c r="AW249" s="101"/>
      <c r="AY249" s="101"/>
      <c r="BA249" s="101"/>
      <c r="BC249" s="101"/>
      <c r="BE249" s="101"/>
      <c r="BF249" s="101"/>
    </row>
    <row r="250" spans="1:80" hidden="1" x14ac:dyDescent="0.25">
      <c r="A250" s="51"/>
      <c r="B250" s="5">
        <f t="shared" ref="B250:B257" si="26">SUM(N250:CX250)</f>
        <v>0</v>
      </c>
      <c r="C250" s="23" t="s">
        <v>23</v>
      </c>
      <c r="D250" s="12"/>
      <c r="E250" s="7"/>
      <c r="F250" s="12"/>
      <c r="G250" s="12"/>
      <c r="H250" s="12"/>
      <c r="I250" s="12"/>
      <c r="J250" s="12"/>
      <c r="K250" s="37"/>
      <c r="L250" s="37"/>
      <c r="M250" s="37"/>
      <c r="S250" s="101"/>
      <c r="U250" s="101"/>
      <c r="W250" s="101"/>
      <c r="Y250" s="101"/>
      <c r="AA250" s="101"/>
      <c r="AC250" s="101"/>
      <c r="AE250" s="101"/>
      <c r="AI250" s="101"/>
      <c r="AK250" s="101"/>
      <c r="AO250" s="101"/>
      <c r="AQ250" s="101"/>
      <c r="AS250" s="101"/>
      <c r="AU250" s="101"/>
      <c r="AW250" s="101"/>
      <c r="AY250" s="101"/>
      <c r="BA250" s="101"/>
      <c r="BC250" s="101"/>
      <c r="BE250" s="101"/>
      <c r="BF250" s="101"/>
    </row>
    <row r="251" spans="1:80" ht="15.75" thickBot="1" x14ac:dyDescent="0.3">
      <c r="A251" s="51"/>
      <c r="B251" s="5">
        <f t="shared" si="26"/>
        <v>1</v>
      </c>
      <c r="C251" s="23" t="s">
        <v>22</v>
      </c>
      <c r="D251" s="12"/>
      <c r="E251" s="7"/>
      <c r="F251" s="12"/>
      <c r="G251" s="12"/>
      <c r="H251" s="12"/>
      <c r="I251" s="12"/>
      <c r="J251" s="12"/>
      <c r="K251" s="37"/>
      <c r="L251" s="37"/>
      <c r="M251" s="37"/>
      <c r="U251" s="101"/>
      <c r="W251" s="101"/>
      <c r="Y251" s="101"/>
      <c r="AA251" s="101"/>
      <c r="AC251" s="101"/>
      <c r="AE251" s="101"/>
      <c r="AI251" s="101"/>
      <c r="AK251" s="101"/>
      <c r="AM251" s="101"/>
      <c r="AO251" s="101"/>
      <c r="AQ251" s="101"/>
      <c r="AS251" s="101"/>
      <c r="AU251" s="101"/>
      <c r="AW251" s="101"/>
      <c r="AY251" s="101"/>
      <c r="BA251" s="101"/>
      <c r="BE251" s="101"/>
      <c r="BF251" s="101"/>
      <c r="BG251" s="101"/>
      <c r="BH251" s="97">
        <v>1</v>
      </c>
    </row>
    <row r="252" spans="1:80" hidden="1" x14ac:dyDescent="0.25">
      <c r="A252" s="51"/>
      <c r="B252" s="5">
        <f t="shared" si="26"/>
        <v>0</v>
      </c>
      <c r="C252" s="23" t="s">
        <v>21</v>
      </c>
      <c r="D252" s="12"/>
      <c r="E252" s="7"/>
      <c r="F252" s="12"/>
      <c r="G252" s="12"/>
      <c r="H252" s="12"/>
      <c r="I252" s="12"/>
      <c r="J252" s="12"/>
      <c r="K252" s="37"/>
      <c r="L252" s="37"/>
      <c r="M252" s="37"/>
      <c r="P252" s="97"/>
      <c r="R252" s="101"/>
      <c r="S252" s="101"/>
      <c r="U252" s="97"/>
    </row>
    <row r="253" spans="1:80" hidden="1" x14ac:dyDescent="0.25">
      <c r="A253" s="51"/>
      <c r="B253" s="5">
        <f t="shared" si="26"/>
        <v>0</v>
      </c>
      <c r="C253" s="23" t="s">
        <v>20</v>
      </c>
      <c r="D253" s="12"/>
      <c r="E253" s="7"/>
      <c r="F253" s="12"/>
      <c r="G253" s="12"/>
      <c r="H253" s="12"/>
      <c r="I253" s="12"/>
      <c r="J253" s="12" t="s">
        <v>7</v>
      </c>
      <c r="K253" s="37"/>
      <c r="L253" s="37"/>
      <c r="M253" s="37"/>
      <c r="N253" s="96"/>
      <c r="P253" s="97"/>
      <c r="S253" s="101"/>
    </row>
    <row r="254" spans="1:80" hidden="1" x14ac:dyDescent="0.25">
      <c r="A254" s="51"/>
      <c r="B254" s="5">
        <f t="shared" si="26"/>
        <v>0</v>
      </c>
      <c r="C254" s="23" t="s">
        <v>19</v>
      </c>
      <c r="D254" s="12"/>
      <c r="E254" s="7"/>
      <c r="F254" s="12"/>
      <c r="G254" s="12"/>
      <c r="H254" s="12"/>
      <c r="I254" s="12"/>
      <c r="J254" s="12"/>
      <c r="K254" s="37"/>
      <c r="L254" s="37"/>
      <c r="M254" s="37"/>
      <c r="Q254" s="101"/>
      <c r="T254" s="101"/>
      <c r="U254" s="101"/>
    </row>
    <row r="255" spans="1:80" hidden="1" x14ac:dyDescent="0.25">
      <c r="A255" s="51"/>
      <c r="B255" s="5">
        <f t="shared" si="26"/>
        <v>0</v>
      </c>
      <c r="C255" s="23" t="s">
        <v>18</v>
      </c>
      <c r="D255" s="12"/>
      <c r="E255" s="7"/>
      <c r="F255" s="12"/>
      <c r="G255" s="12"/>
      <c r="H255" s="12"/>
      <c r="I255" s="12"/>
      <c r="J255" s="12"/>
      <c r="K255" s="37"/>
      <c r="L255" s="37"/>
      <c r="M255" s="37"/>
    </row>
    <row r="256" spans="1:80" hidden="1" x14ac:dyDescent="0.25">
      <c r="A256" s="51"/>
      <c r="B256" s="5">
        <f t="shared" si="26"/>
        <v>0</v>
      </c>
      <c r="C256" s="23" t="s">
        <v>17</v>
      </c>
      <c r="D256" s="12"/>
      <c r="E256" s="7"/>
      <c r="F256" s="12"/>
      <c r="G256" s="12"/>
      <c r="H256" s="12"/>
      <c r="I256" s="12"/>
      <c r="J256" s="12"/>
      <c r="K256" s="37"/>
      <c r="L256" s="37"/>
      <c r="M256" s="37"/>
      <c r="O256" s="97"/>
    </row>
    <row r="257" spans="1:80" ht="15.75" hidden="1" thickBot="1" x14ac:dyDescent="0.3">
      <c r="A257" s="51"/>
      <c r="B257" s="5">
        <f t="shared" si="26"/>
        <v>0</v>
      </c>
      <c r="C257" s="23" t="s">
        <v>16</v>
      </c>
      <c r="D257" s="12"/>
      <c r="E257" s="7"/>
      <c r="F257" s="12"/>
      <c r="G257" s="12"/>
      <c r="H257" s="12"/>
      <c r="I257" s="12"/>
      <c r="J257" s="12"/>
      <c r="K257" s="37"/>
      <c r="L257" s="37"/>
      <c r="M257" s="37"/>
      <c r="O257" s="97"/>
    </row>
    <row r="258" spans="1:80" ht="15.75" thickBot="1" x14ac:dyDescent="0.3">
      <c r="A258" s="49" t="s">
        <v>13</v>
      </c>
      <c r="B258" s="10">
        <f>SUM(B249:B257)</f>
        <v>1</v>
      </c>
      <c r="C258" s="14"/>
      <c r="D258" s="12"/>
      <c r="E258" s="7"/>
      <c r="F258" s="12"/>
      <c r="G258" s="12"/>
      <c r="H258" s="12"/>
      <c r="I258" s="12"/>
      <c r="J258" s="12"/>
      <c r="K258" s="37"/>
      <c r="L258" s="37"/>
      <c r="M258" s="37"/>
    </row>
    <row r="260" spans="1:80" x14ac:dyDescent="0.25">
      <c r="A260" s="102" t="s">
        <v>109</v>
      </c>
      <c r="B260" s="103"/>
      <c r="C260" s="103"/>
      <c r="D260" s="103"/>
      <c r="E260" s="103"/>
      <c r="F260" s="103"/>
      <c r="G260" s="103"/>
      <c r="H260" s="103"/>
      <c r="I260" s="103"/>
      <c r="J260" s="104"/>
    </row>
    <row r="261" spans="1:80" x14ac:dyDescent="0.25">
      <c r="A261" s="105"/>
      <c r="B261" s="106"/>
      <c r="C261" s="106"/>
      <c r="D261" s="106"/>
      <c r="E261" s="106"/>
      <c r="F261" s="106"/>
      <c r="G261" s="106"/>
      <c r="H261" s="106"/>
      <c r="I261" s="106"/>
      <c r="J261" s="107"/>
    </row>
    <row r="262" spans="1:80" x14ac:dyDescent="0.25">
      <c r="A262" s="108"/>
      <c r="B262" s="109"/>
      <c r="C262" s="109"/>
      <c r="D262" s="109"/>
      <c r="E262" s="109"/>
      <c r="F262" s="109"/>
      <c r="G262" s="109"/>
      <c r="H262" s="109"/>
      <c r="I262" s="109"/>
      <c r="J262" s="110"/>
    </row>
    <row r="263" spans="1:80" s="8" customFormat="1" ht="15.95" customHeight="1" thickBot="1" x14ac:dyDescent="0.3">
      <c r="A263" s="112" t="s">
        <v>172</v>
      </c>
      <c r="B263" s="112"/>
      <c r="C263" s="112"/>
      <c r="D263" s="112"/>
      <c r="E263" s="112"/>
      <c r="F263" s="112"/>
      <c r="G263" s="112"/>
      <c r="H263" s="112"/>
      <c r="I263" s="112"/>
      <c r="J263" s="112"/>
      <c r="K263" s="34"/>
      <c r="L263" s="34"/>
      <c r="M263" s="34"/>
      <c r="N263" s="18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  <c r="BJ263" s="6"/>
      <c r="BK263" s="6"/>
      <c r="BL263" s="6"/>
      <c r="BM263" s="6"/>
      <c r="BN263" s="6"/>
      <c r="BO263" s="6"/>
      <c r="BP263" s="6"/>
      <c r="BQ263" s="6"/>
      <c r="BR263" s="6"/>
      <c r="BS263" s="6"/>
      <c r="BT263" s="6"/>
      <c r="BU263" s="6"/>
      <c r="BV263" s="6"/>
      <c r="BW263" s="6"/>
      <c r="BX263" s="6"/>
      <c r="BY263" s="6"/>
      <c r="BZ263" s="6"/>
      <c r="CA263" s="6"/>
      <c r="CB263" s="6"/>
    </row>
    <row r="264" spans="1:80" ht="18.75" x14ac:dyDescent="0.25">
      <c r="A264" s="48" t="s">
        <v>12</v>
      </c>
      <c r="B264" s="62" t="s">
        <v>8</v>
      </c>
      <c r="C264" s="15" t="s">
        <v>0</v>
      </c>
      <c r="D264" s="24" t="s">
        <v>1</v>
      </c>
      <c r="E264" s="24" t="s">
        <v>2</v>
      </c>
      <c r="F264" s="24" t="s">
        <v>3</v>
      </c>
      <c r="G264" s="24" t="s">
        <v>4</v>
      </c>
      <c r="H264" s="24" t="s">
        <v>5</v>
      </c>
      <c r="I264" s="24" t="s">
        <v>30</v>
      </c>
      <c r="J264" s="24" t="s">
        <v>39</v>
      </c>
      <c r="K264" s="35">
        <v>100</v>
      </c>
      <c r="L264" s="35" t="s">
        <v>46</v>
      </c>
      <c r="M264" s="35" t="s">
        <v>2</v>
      </c>
    </row>
    <row r="265" spans="1:80" ht="15.75" thickBot="1" x14ac:dyDescent="0.3">
      <c r="A265" s="88" t="s">
        <v>108</v>
      </c>
      <c r="B265" s="5">
        <f t="shared" ref="B265:B270" si="27">SUM(N265:AX265)</f>
        <v>1</v>
      </c>
      <c r="C265" s="60" t="s">
        <v>15</v>
      </c>
      <c r="D265" s="60" t="s">
        <v>15</v>
      </c>
      <c r="E265" s="61" t="s">
        <v>22</v>
      </c>
      <c r="F265" s="60"/>
      <c r="G265" s="60"/>
      <c r="H265" s="61"/>
      <c r="I265" s="61"/>
      <c r="J265" s="61"/>
      <c r="K265" s="36">
        <f t="shared" ref="K265:K270" si="28">(B265*COUNTA(C265,D265,F265,H265))</f>
        <v>2</v>
      </c>
      <c r="L265" s="36">
        <f t="shared" ref="L265:L270" si="29">(B265*COUNTA(I265,J265))</f>
        <v>0</v>
      </c>
      <c r="M265" s="36">
        <f t="shared" ref="M265:M270" si="30">(B265*COUNTA(E265,G265))</f>
        <v>1</v>
      </c>
      <c r="U265" s="101">
        <v>1</v>
      </c>
    </row>
    <row r="266" spans="1:80" hidden="1" x14ac:dyDescent="0.25">
      <c r="A266" s="88"/>
      <c r="B266" s="5">
        <f t="shared" si="27"/>
        <v>0</v>
      </c>
      <c r="C266" s="60"/>
      <c r="D266" s="61"/>
      <c r="E266" s="61"/>
      <c r="F266" s="61"/>
      <c r="G266" s="61"/>
      <c r="H266" s="61"/>
      <c r="I266" s="61"/>
      <c r="J266" s="61"/>
      <c r="K266" s="36">
        <f t="shared" si="28"/>
        <v>0</v>
      </c>
      <c r="L266" s="36">
        <f t="shared" si="29"/>
        <v>0</v>
      </c>
      <c r="M266" s="36">
        <f t="shared" si="30"/>
        <v>0</v>
      </c>
    </row>
    <row r="267" spans="1:80" hidden="1" x14ac:dyDescent="0.25">
      <c r="A267" s="88"/>
      <c r="B267" s="5">
        <f t="shared" si="27"/>
        <v>0</v>
      </c>
      <c r="C267" s="60"/>
      <c r="D267" s="61"/>
      <c r="E267" s="61"/>
      <c r="F267" s="61"/>
      <c r="G267" s="61"/>
      <c r="H267" s="61"/>
      <c r="I267" s="61"/>
      <c r="J267" s="61"/>
      <c r="K267" s="36">
        <f t="shared" si="28"/>
        <v>0</v>
      </c>
      <c r="L267" s="36">
        <f t="shared" si="29"/>
        <v>0</v>
      </c>
      <c r="M267" s="36">
        <f t="shared" si="30"/>
        <v>0</v>
      </c>
    </row>
    <row r="268" spans="1:80" hidden="1" x14ac:dyDescent="0.25">
      <c r="A268" s="9"/>
      <c r="B268" s="5">
        <f t="shared" si="27"/>
        <v>0</v>
      </c>
      <c r="C268" s="60"/>
      <c r="D268" s="61"/>
      <c r="E268" s="61"/>
      <c r="F268" s="61"/>
      <c r="G268" s="61"/>
      <c r="H268" s="61"/>
      <c r="I268" s="61"/>
      <c r="J268" s="61"/>
      <c r="K268" s="36">
        <f t="shared" si="28"/>
        <v>0</v>
      </c>
      <c r="L268" s="36">
        <f t="shared" si="29"/>
        <v>0</v>
      </c>
      <c r="M268" s="36">
        <f t="shared" si="30"/>
        <v>0</v>
      </c>
    </row>
    <row r="269" spans="1:80" hidden="1" x14ac:dyDescent="0.25">
      <c r="A269" s="9"/>
      <c r="B269" s="5">
        <f t="shared" si="27"/>
        <v>0</v>
      </c>
      <c r="C269" s="60"/>
      <c r="D269" s="61"/>
      <c r="E269" s="61"/>
      <c r="F269" s="61"/>
      <c r="G269" s="61"/>
      <c r="H269" s="61"/>
      <c r="I269" s="61"/>
      <c r="J269" s="61"/>
      <c r="K269" s="36">
        <f t="shared" si="28"/>
        <v>0</v>
      </c>
      <c r="L269" s="36">
        <f t="shared" si="29"/>
        <v>0</v>
      </c>
      <c r="M269" s="36">
        <f t="shared" si="30"/>
        <v>0</v>
      </c>
    </row>
    <row r="270" spans="1:80" ht="15.75" hidden="1" thickBot="1" x14ac:dyDescent="0.3">
      <c r="A270" s="9"/>
      <c r="B270" s="5">
        <f t="shared" si="27"/>
        <v>0</v>
      </c>
      <c r="C270" s="60"/>
      <c r="D270" s="61"/>
      <c r="E270" s="61"/>
      <c r="F270" s="61"/>
      <c r="G270" s="61"/>
      <c r="H270" s="61"/>
      <c r="I270" s="61"/>
      <c r="J270" s="61"/>
      <c r="K270" s="36">
        <f t="shared" si="28"/>
        <v>0</v>
      </c>
      <c r="L270" s="36">
        <f t="shared" si="29"/>
        <v>0</v>
      </c>
      <c r="M270" s="36">
        <f t="shared" si="30"/>
        <v>0</v>
      </c>
    </row>
    <row r="271" spans="1:80" ht="15.75" thickBot="1" x14ac:dyDescent="0.3">
      <c r="A271" s="49" t="s">
        <v>13</v>
      </c>
      <c r="B271" s="10">
        <f>SUM(B265:B270)</f>
        <v>1</v>
      </c>
      <c r="C271" s="11"/>
      <c r="D271" s="12"/>
      <c r="E271" s="12"/>
      <c r="F271" s="12"/>
      <c r="G271" s="12"/>
      <c r="H271" s="12"/>
      <c r="I271" s="12"/>
      <c r="J271" s="12"/>
      <c r="K271" s="37"/>
      <c r="L271" s="37"/>
      <c r="M271" s="37"/>
    </row>
    <row r="272" spans="1:80" x14ac:dyDescent="0.25">
      <c r="A272" s="50"/>
      <c r="B272" s="16"/>
      <c r="C272" s="11"/>
      <c r="D272" s="12"/>
      <c r="E272" s="12"/>
      <c r="F272" s="12"/>
      <c r="G272" s="12"/>
      <c r="H272" s="12"/>
      <c r="I272" s="12"/>
      <c r="J272" s="12"/>
      <c r="K272" s="37"/>
      <c r="L272" s="37"/>
      <c r="M272" s="37"/>
    </row>
    <row r="273" spans="1:80" s="8" customFormat="1" ht="15.95" customHeight="1" thickBot="1" x14ac:dyDescent="0.3">
      <c r="A273" s="112" t="s">
        <v>62</v>
      </c>
      <c r="B273" s="112"/>
      <c r="C273" s="112"/>
      <c r="D273" s="112"/>
      <c r="E273" s="112"/>
      <c r="F273" s="112"/>
      <c r="G273" s="112"/>
      <c r="H273" s="112"/>
      <c r="I273" s="112"/>
      <c r="J273" s="112"/>
      <c r="K273" s="34"/>
      <c r="L273" s="34"/>
      <c r="M273" s="34"/>
      <c r="N273" s="18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  <c r="BI273" s="6"/>
      <c r="BJ273" s="6"/>
      <c r="BK273" s="6"/>
      <c r="BL273" s="6"/>
      <c r="BM273" s="6"/>
      <c r="BN273" s="6"/>
      <c r="BO273" s="6"/>
      <c r="BP273" s="6"/>
      <c r="BQ273" s="6"/>
      <c r="BR273" s="6"/>
      <c r="BS273" s="6"/>
      <c r="BT273" s="6"/>
      <c r="BU273" s="6"/>
      <c r="BV273" s="6"/>
      <c r="BW273" s="6"/>
      <c r="BX273" s="6"/>
      <c r="BY273" s="6"/>
      <c r="BZ273" s="6"/>
      <c r="CA273" s="6"/>
      <c r="CB273" s="6"/>
    </row>
    <row r="274" spans="1:80" x14ac:dyDescent="0.25">
      <c r="A274" s="48" t="s">
        <v>12</v>
      </c>
      <c r="B274" s="62" t="s">
        <v>8</v>
      </c>
      <c r="C274" s="134" t="s">
        <v>35</v>
      </c>
      <c r="D274" s="115"/>
      <c r="E274" s="118"/>
      <c r="F274" s="126" t="s">
        <v>40</v>
      </c>
      <c r="G274" s="115"/>
      <c r="H274" s="115"/>
      <c r="I274" s="115"/>
      <c r="J274" s="118"/>
      <c r="K274" s="38"/>
      <c r="L274" s="39"/>
      <c r="M274" s="39"/>
    </row>
    <row r="275" spans="1:80" ht="15" customHeight="1" x14ac:dyDescent="0.25">
      <c r="A275" s="9"/>
      <c r="B275" s="5">
        <f>SUM(K265:K270)+SUM(N275:AX275)</f>
        <v>2</v>
      </c>
      <c r="C275" s="123" t="s">
        <v>36</v>
      </c>
      <c r="D275" s="124"/>
      <c r="E275" s="125"/>
      <c r="F275" s="127" t="s">
        <v>41</v>
      </c>
      <c r="G275" s="128"/>
      <c r="H275" s="128"/>
      <c r="I275" s="128"/>
      <c r="J275" s="129"/>
      <c r="K275" s="40"/>
      <c r="L275" s="41"/>
      <c r="M275" s="41"/>
    </row>
    <row r="276" spans="1:80" ht="15" hidden="1" customHeight="1" x14ac:dyDescent="0.25">
      <c r="A276" s="9"/>
      <c r="B276" s="5">
        <f>SUM(L265:L270)+SUM(N276:AX276)</f>
        <v>0</v>
      </c>
      <c r="C276" s="123" t="s">
        <v>37</v>
      </c>
      <c r="D276" s="124"/>
      <c r="E276" s="125"/>
      <c r="F276" s="127" t="s">
        <v>42</v>
      </c>
      <c r="G276" s="128"/>
      <c r="H276" s="128"/>
      <c r="I276" s="128"/>
      <c r="J276" s="129"/>
      <c r="K276" s="40"/>
      <c r="L276" s="41"/>
      <c r="M276" s="41"/>
    </row>
    <row r="277" spans="1:80" ht="15.75" customHeight="1" thickBot="1" x14ac:dyDescent="0.3">
      <c r="A277" s="9"/>
      <c r="B277" s="5">
        <f>SUM(M265:M270)+SUM(N277:AX277)</f>
        <v>1</v>
      </c>
      <c r="C277" s="123" t="s">
        <v>38</v>
      </c>
      <c r="D277" s="124"/>
      <c r="E277" s="125"/>
      <c r="F277" s="127" t="s">
        <v>43</v>
      </c>
      <c r="G277" s="128"/>
      <c r="H277" s="128"/>
      <c r="I277" s="128"/>
      <c r="J277" s="129"/>
      <c r="K277" s="40"/>
      <c r="L277" s="41"/>
      <c r="M277" s="41"/>
    </row>
    <row r="278" spans="1:80" ht="15.75" thickBot="1" x14ac:dyDescent="0.3">
      <c r="A278" s="49" t="s">
        <v>13</v>
      </c>
      <c r="B278" s="10">
        <f>SUM(B275:B277)</f>
        <v>3</v>
      </c>
      <c r="C278" s="11"/>
      <c r="D278" s="12"/>
      <c r="E278" s="12"/>
      <c r="F278" s="12"/>
      <c r="G278" s="12"/>
      <c r="H278" s="12"/>
      <c r="I278" s="12"/>
      <c r="J278" s="12"/>
      <c r="K278" s="37"/>
      <c r="L278" s="37"/>
      <c r="M278" s="37"/>
    </row>
    <row r="279" spans="1:80" ht="15" customHeight="1" x14ac:dyDescent="0.25">
      <c r="A279" s="133" t="s">
        <v>45</v>
      </c>
      <c r="B279" s="133"/>
      <c r="C279" s="133"/>
      <c r="D279" s="133"/>
      <c r="E279" s="133"/>
      <c r="F279" s="133"/>
      <c r="G279" s="133"/>
      <c r="H279" s="133"/>
      <c r="I279" s="133"/>
      <c r="J279" s="133"/>
      <c r="K279" s="37"/>
      <c r="L279" s="37"/>
      <c r="M279" s="37"/>
    </row>
    <row r="280" spans="1:80" x14ac:dyDescent="0.25">
      <c r="A280" s="133"/>
      <c r="B280" s="133"/>
      <c r="C280" s="133"/>
      <c r="D280" s="133"/>
      <c r="E280" s="133"/>
      <c r="F280" s="133"/>
      <c r="G280" s="133"/>
      <c r="H280" s="133"/>
      <c r="I280" s="133"/>
      <c r="J280" s="133"/>
      <c r="K280" s="37"/>
      <c r="L280" s="37"/>
      <c r="M280" s="37"/>
    </row>
    <row r="283" spans="1:80" x14ac:dyDescent="0.25">
      <c r="A283" s="102" t="s">
        <v>112</v>
      </c>
      <c r="B283" s="103"/>
      <c r="C283" s="103"/>
      <c r="D283" s="103"/>
      <c r="E283" s="103"/>
      <c r="F283" s="103"/>
      <c r="G283" s="103"/>
      <c r="H283" s="103"/>
      <c r="I283" s="103"/>
      <c r="J283" s="104"/>
    </row>
    <row r="284" spans="1:80" x14ac:dyDescent="0.25">
      <c r="A284" s="105"/>
      <c r="B284" s="106"/>
      <c r="C284" s="106"/>
      <c r="D284" s="106"/>
      <c r="E284" s="106"/>
      <c r="F284" s="106"/>
      <c r="G284" s="106"/>
      <c r="H284" s="106"/>
      <c r="I284" s="106"/>
      <c r="J284" s="107"/>
    </row>
    <row r="285" spans="1:80" x14ac:dyDescent="0.25">
      <c r="A285" s="108"/>
      <c r="B285" s="109"/>
      <c r="C285" s="109"/>
      <c r="D285" s="109"/>
      <c r="E285" s="109"/>
      <c r="F285" s="109"/>
      <c r="G285" s="109"/>
      <c r="H285" s="109"/>
      <c r="I285" s="109"/>
      <c r="J285" s="110"/>
    </row>
    <row r="286" spans="1:80" s="8" customFormat="1" ht="15.95" customHeight="1" thickBot="1" x14ac:dyDescent="0.3">
      <c r="A286" s="112" t="s">
        <v>172</v>
      </c>
      <c r="B286" s="112"/>
      <c r="C286" s="112"/>
      <c r="D286" s="112"/>
      <c r="E286" s="112"/>
      <c r="F286" s="112"/>
      <c r="G286" s="112"/>
      <c r="H286" s="112"/>
      <c r="I286" s="112"/>
      <c r="J286" s="112"/>
      <c r="K286" s="34"/>
      <c r="L286" s="34"/>
      <c r="M286" s="34"/>
      <c r="N286" s="18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  <c r="BA286" s="6"/>
      <c r="BB286" s="6"/>
      <c r="BC286" s="6"/>
      <c r="BD286" s="6"/>
      <c r="BE286" s="6"/>
      <c r="BF286" s="6"/>
      <c r="BG286" s="6"/>
      <c r="BH286" s="6"/>
      <c r="BI286" s="6"/>
      <c r="BJ286" s="6"/>
      <c r="BK286" s="6"/>
      <c r="BL286" s="6"/>
      <c r="BM286" s="6"/>
      <c r="BN286" s="6"/>
      <c r="BO286" s="6"/>
      <c r="BP286" s="6"/>
      <c r="BQ286" s="6"/>
      <c r="BR286" s="6"/>
      <c r="BS286" s="6"/>
      <c r="BT286" s="6"/>
      <c r="BU286" s="6"/>
      <c r="BV286" s="6"/>
      <c r="BW286" s="6"/>
      <c r="BX286" s="6"/>
      <c r="BY286" s="6"/>
      <c r="BZ286" s="6"/>
      <c r="CA286" s="6"/>
      <c r="CB286" s="6"/>
    </row>
    <row r="287" spans="1:80" ht="18.75" x14ac:dyDescent="0.25">
      <c r="A287" s="48" t="s">
        <v>12</v>
      </c>
      <c r="B287" s="62" t="s">
        <v>8</v>
      </c>
      <c r="C287" s="15" t="s">
        <v>0</v>
      </c>
      <c r="D287" s="24" t="s">
        <v>1</v>
      </c>
      <c r="E287" s="24" t="s">
        <v>2</v>
      </c>
      <c r="F287" s="24" t="s">
        <v>3</v>
      </c>
      <c r="G287" s="24" t="s">
        <v>4</v>
      </c>
      <c r="H287" s="24" t="s">
        <v>5</v>
      </c>
      <c r="I287" s="24" t="s">
        <v>30</v>
      </c>
      <c r="J287" s="24" t="s">
        <v>39</v>
      </c>
      <c r="K287" s="35">
        <v>100</v>
      </c>
      <c r="L287" s="35" t="s">
        <v>46</v>
      </c>
      <c r="M287" s="35" t="s">
        <v>2</v>
      </c>
    </row>
    <row r="288" spans="1:80" ht="15.75" thickBot="1" x14ac:dyDescent="0.3">
      <c r="A288" s="51" t="s">
        <v>117</v>
      </c>
      <c r="B288" s="5">
        <f t="shared" ref="B288:B293" si="31">SUM(N288:AX288)</f>
        <v>3</v>
      </c>
      <c r="C288" s="60" t="s">
        <v>15</v>
      </c>
      <c r="D288" s="60" t="s">
        <v>15</v>
      </c>
      <c r="E288" s="61" t="s">
        <v>22</v>
      </c>
      <c r="F288" s="60"/>
      <c r="G288" s="60"/>
      <c r="H288" s="61"/>
      <c r="I288" s="61"/>
      <c r="J288" s="61"/>
      <c r="K288" s="36">
        <f t="shared" ref="K288:K293" si="32">(B288*COUNTA(C288,D288,F288,H288))</f>
        <v>6</v>
      </c>
      <c r="L288" s="36">
        <f t="shared" ref="L288:L293" si="33">(B288*COUNTA(I288,J288))</f>
        <v>0</v>
      </c>
      <c r="M288" s="36">
        <f t="shared" ref="M288:M293" si="34">(B288*COUNTA(E288,G288))</f>
        <v>3</v>
      </c>
      <c r="W288" s="101">
        <v>1</v>
      </c>
      <c r="Y288" s="101">
        <v>1</v>
      </c>
      <c r="AA288" s="101">
        <v>1</v>
      </c>
    </row>
    <row r="289" spans="1:80" ht="15.75" hidden="1" thickBot="1" x14ac:dyDescent="0.3">
      <c r="A289" s="88"/>
      <c r="B289" s="5">
        <f t="shared" si="31"/>
        <v>0</v>
      </c>
      <c r="C289" s="60"/>
      <c r="D289" s="61"/>
      <c r="E289" s="61"/>
      <c r="F289" s="61"/>
      <c r="G289" s="61"/>
      <c r="H289" s="61"/>
      <c r="I289" s="61"/>
      <c r="J289" s="61"/>
      <c r="K289" s="36">
        <f t="shared" si="32"/>
        <v>0</v>
      </c>
      <c r="L289" s="36">
        <f t="shared" si="33"/>
        <v>0</v>
      </c>
      <c r="M289" s="36">
        <f t="shared" si="34"/>
        <v>0</v>
      </c>
    </row>
    <row r="290" spans="1:80" ht="15.75" hidden="1" thickBot="1" x14ac:dyDescent="0.3">
      <c r="A290" s="88"/>
      <c r="B290" s="5">
        <f t="shared" si="31"/>
        <v>0</v>
      </c>
      <c r="C290" s="60"/>
      <c r="D290" s="61"/>
      <c r="E290" s="61"/>
      <c r="F290" s="61"/>
      <c r="G290" s="61"/>
      <c r="H290" s="61"/>
      <c r="I290" s="61"/>
      <c r="J290" s="61"/>
      <c r="K290" s="36">
        <f t="shared" si="32"/>
        <v>0</v>
      </c>
      <c r="L290" s="36">
        <f t="shared" si="33"/>
        <v>0</v>
      </c>
      <c r="M290" s="36">
        <f t="shared" si="34"/>
        <v>0</v>
      </c>
    </row>
    <row r="291" spans="1:80" ht="15.75" hidden="1" thickBot="1" x14ac:dyDescent="0.3">
      <c r="A291" s="9"/>
      <c r="B291" s="5">
        <f t="shared" si="31"/>
        <v>0</v>
      </c>
      <c r="C291" s="60"/>
      <c r="D291" s="61"/>
      <c r="E291" s="61"/>
      <c r="F291" s="61"/>
      <c r="G291" s="61"/>
      <c r="H291" s="61"/>
      <c r="I291" s="61"/>
      <c r="J291" s="61"/>
      <c r="K291" s="36">
        <f t="shared" si="32"/>
        <v>0</v>
      </c>
      <c r="L291" s="36">
        <f t="shared" si="33"/>
        <v>0</v>
      </c>
      <c r="M291" s="36">
        <f t="shared" si="34"/>
        <v>0</v>
      </c>
    </row>
    <row r="292" spans="1:80" ht="15.75" hidden="1" thickBot="1" x14ac:dyDescent="0.3">
      <c r="A292" s="9"/>
      <c r="B292" s="5">
        <f t="shared" si="31"/>
        <v>0</v>
      </c>
      <c r="C292" s="60"/>
      <c r="D292" s="61"/>
      <c r="E292" s="61"/>
      <c r="F292" s="61"/>
      <c r="G292" s="61"/>
      <c r="H292" s="61"/>
      <c r="I292" s="61"/>
      <c r="J292" s="61"/>
      <c r="K292" s="36">
        <f t="shared" si="32"/>
        <v>0</v>
      </c>
      <c r="L292" s="36">
        <f t="shared" si="33"/>
        <v>0</v>
      </c>
      <c r="M292" s="36">
        <f t="shared" si="34"/>
        <v>0</v>
      </c>
    </row>
    <row r="293" spans="1:80" ht="15.75" hidden="1" thickBot="1" x14ac:dyDescent="0.3">
      <c r="A293" s="9"/>
      <c r="B293" s="5">
        <f t="shared" si="31"/>
        <v>0</v>
      </c>
      <c r="C293" s="60"/>
      <c r="D293" s="61"/>
      <c r="E293" s="61"/>
      <c r="F293" s="61"/>
      <c r="G293" s="61"/>
      <c r="H293" s="61"/>
      <c r="I293" s="61"/>
      <c r="J293" s="61"/>
      <c r="K293" s="36">
        <f t="shared" si="32"/>
        <v>0</v>
      </c>
      <c r="L293" s="36">
        <f t="shared" si="33"/>
        <v>0</v>
      </c>
      <c r="M293" s="36">
        <f t="shared" si="34"/>
        <v>0</v>
      </c>
    </row>
    <row r="294" spans="1:80" ht="15.75" thickBot="1" x14ac:dyDescent="0.3">
      <c r="A294" s="49" t="s">
        <v>13</v>
      </c>
      <c r="B294" s="10">
        <f>SUM(B288:B293)</f>
        <v>3</v>
      </c>
      <c r="C294" s="11"/>
      <c r="D294" s="12"/>
      <c r="E294" s="12"/>
      <c r="F294" s="12"/>
      <c r="G294" s="12"/>
      <c r="H294" s="12"/>
      <c r="I294" s="12"/>
      <c r="J294" s="12"/>
      <c r="K294" s="37"/>
      <c r="L294" s="37"/>
      <c r="M294" s="37"/>
    </row>
    <row r="295" spans="1:80" x14ac:dyDescent="0.25">
      <c r="A295" s="50"/>
      <c r="B295" s="16"/>
      <c r="C295" s="11"/>
      <c r="D295" s="12"/>
      <c r="E295" s="12"/>
      <c r="F295" s="12"/>
      <c r="G295" s="12"/>
      <c r="H295" s="12"/>
      <c r="I295" s="12"/>
      <c r="J295" s="12"/>
      <c r="K295" s="37"/>
      <c r="L295" s="37"/>
      <c r="M295" s="37"/>
    </row>
    <row r="296" spans="1:80" s="8" customFormat="1" ht="15.95" customHeight="1" thickBot="1" x14ac:dyDescent="0.3">
      <c r="A296" s="112" t="s">
        <v>62</v>
      </c>
      <c r="B296" s="112"/>
      <c r="C296" s="112"/>
      <c r="D296" s="112"/>
      <c r="E296" s="112"/>
      <c r="F296" s="112"/>
      <c r="G296" s="112"/>
      <c r="H296" s="112"/>
      <c r="I296" s="112"/>
      <c r="J296" s="112"/>
      <c r="K296" s="34"/>
      <c r="L296" s="34"/>
      <c r="M296" s="34"/>
      <c r="N296" s="18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  <c r="AZ296" s="6"/>
      <c r="BA296" s="6"/>
      <c r="BB296" s="6"/>
      <c r="BC296" s="6"/>
      <c r="BD296" s="6"/>
      <c r="BE296" s="6"/>
      <c r="BF296" s="6"/>
      <c r="BG296" s="6"/>
      <c r="BH296" s="6"/>
      <c r="BI296" s="6"/>
      <c r="BJ296" s="6"/>
      <c r="BK296" s="6"/>
      <c r="BL296" s="6"/>
      <c r="BM296" s="6"/>
      <c r="BN296" s="6"/>
      <c r="BO296" s="6"/>
      <c r="BP296" s="6"/>
      <c r="BQ296" s="6"/>
      <c r="BR296" s="6"/>
      <c r="BS296" s="6"/>
      <c r="BT296" s="6"/>
      <c r="BU296" s="6"/>
      <c r="BV296" s="6"/>
      <c r="BW296" s="6"/>
      <c r="BX296" s="6"/>
      <c r="BY296" s="6"/>
      <c r="BZ296" s="6"/>
      <c r="CA296" s="6"/>
      <c r="CB296" s="6"/>
    </row>
    <row r="297" spans="1:80" x14ac:dyDescent="0.25">
      <c r="A297" s="48" t="s">
        <v>12</v>
      </c>
      <c r="B297" s="62" t="s">
        <v>8</v>
      </c>
      <c r="C297" s="134" t="s">
        <v>35</v>
      </c>
      <c r="D297" s="115"/>
      <c r="E297" s="118"/>
      <c r="F297" s="126" t="s">
        <v>40</v>
      </c>
      <c r="G297" s="115"/>
      <c r="H297" s="115"/>
      <c r="I297" s="115"/>
      <c r="J297" s="118"/>
      <c r="K297" s="38"/>
      <c r="L297" s="39"/>
      <c r="M297" s="39"/>
    </row>
    <row r="298" spans="1:80" ht="15" customHeight="1" x14ac:dyDescent="0.25">
      <c r="A298" s="9"/>
      <c r="B298" s="5">
        <f>SUM(K288:K293)+SUM(N298:AX298)</f>
        <v>6</v>
      </c>
      <c r="C298" s="123" t="s">
        <v>36</v>
      </c>
      <c r="D298" s="124"/>
      <c r="E298" s="125"/>
      <c r="F298" s="127" t="s">
        <v>41</v>
      </c>
      <c r="G298" s="128"/>
      <c r="H298" s="128"/>
      <c r="I298" s="128"/>
      <c r="J298" s="129"/>
      <c r="K298" s="40"/>
      <c r="L298" s="41"/>
      <c r="M298" s="41"/>
    </row>
    <row r="299" spans="1:80" ht="15" hidden="1" customHeight="1" x14ac:dyDescent="0.25">
      <c r="A299" s="9"/>
      <c r="B299" s="5">
        <f>SUM(L288:L293)+SUM(N299:AX299)</f>
        <v>0</v>
      </c>
      <c r="C299" s="123" t="s">
        <v>37</v>
      </c>
      <c r="D299" s="124"/>
      <c r="E299" s="125"/>
      <c r="F299" s="127" t="s">
        <v>42</v>
      </c>
      <c r="G299" s="128"/>
      <c r="H299" s="128"/>
      <c r="I299" s="128"/>
      <c r="J299" s="129"/>
      <c r="K299" s="40"/>
      <c r="L299" s="41"/>
      <c r="M299" s="41"/>
    </row>
    <row r="300" spans="1:80" ht="15.75" customHeight="1" thickBot="1" x14ac:dyDescent="0.3">
      <c r="A300" s="9"/>
      <c r="B300" s="5">
        <f>SUM(M288:M293)+SUM(N300:AX300)</f>
        <v>3</v>
      </c>
      <c r="C300" s="123" t="s">
        <v>38</v>
      </c>
      <c r="D300" s="124"/>
      <c r="E300" s="125"/>
      <c r="F300" s="127" t="s">
        <v>43</v>
      </c>
      <c r="G300" s="128"/>
      <c r="H300" s="128"/>
      <c r="I300" s="128"/>
      <c r="J300" s="129"/>
      <c r="K300" s="40"/>
      <c r="L300" s="41"/>
      <c r="M300" s="41"/>
    </row>
    <row r="301" spans="1:80" ht="15.75" thickBot="1" x14ac:dyDescent="0.3">
      <c r="A301" s="49" t="s">
        <v>13</v>
      </c>
      <c r="B301" s="10">
        <f>SUM(B298:B300)</f>
        <v>9</v>
      </c>
      <c r="C301" s="11"/>
      <c r="D301" s="12"/>
      <c r="E301" s="12"/>
      <c r="F301" s="12"/>
      <c r="G301" s="12"/>
      <c r="H301" s="12"/>
      <c r="I301" s="12"/>
      <c r="J301" s="12"/>
      <c r="K301" s="37"/>
      <c r="L301" s="37"/>
      <c r="M301" s="37"/>
    </row>
    <row r="302" spans="1:80" ht="15" customHeight="1" x14ac:dyDescent="0.25">
      <c r="A302" s="133" t="s">
        <v>45</v>
      </c>
      <c r="B302" s="133"/>
      <c r="C302" s="133"/>
      <c r="D302" s="133"/>
      <c r="E302" s="133"/>
      <c r="F302" s="133"/>
      <c r="G302" s="133"/>
      <c r="H302" s="133"/>
      <c r="I302" s="133"/>
      <c r="J302" s="133"/>
      <c r="K302" s="37"/>
      <c r="L302" s="37"/>
      <c r="M302" s="37"/>
    </row>
    <row r="303" spans="1:80" x14ac:dyDescent="0.25">
      <c r="A303" s="133"/>
      <c r="B303" s="133"/>
      <c r="C303" s="133"/>
      <c r="D303" s="133"/>
      <c r="E303" s="133"/>
      <c r="F303" s="133"/>
      <c r="G303" s="133"/>
      <c r="H303" s="133"/>
      <c r="I303" s="133"/>
      <c r="J303" s="133"/>
      <c r="K303" s="37"/>
      <c r="L303" s="37"/>
      <c r="M303" s="37"/>
    </row>
    <row r="305" spans="1:80" x14ac:dyDescent="0.25">
      <c r="A305" s="102" t="s">
        <v>118</v>
      </c>
      <c r="B305" s="103"/>
      <c r="C305" s="103"/>
      <c r="D305" s="103"/>
      <c r="E305" s="103"/>
      <c r="F305" s="103"/>
      <c r="G305" s="103"/>
      <c r="H305" s="103"/>
      <c r="I305" s="103"/>
      <c r="J305" s="104"/>
    </row>
    <row r="306" spans="1:80" x14ac:dyDescent="0.25">
      <c r="A306" s="105"/>
      <c r="B306" s="106"/>
      <c r="C306" s="106"/>
      <c r="D306" s="106"/>
      <c r="E306" s="106"/>
      <c r="F306" s="106"/>
      <c r="G306" s="106"/>
      <c r="H306" s="106"/>
      <c r="I306" s="106"/>
      <c r="J306" s="107"/>
    </row>
    <row r="307" spans="1:80" x14ac:dyDescent="0.25">
      <c r="A307" s="108"/>
      <c r="B307" s="109"/>
      <c r="C307" s="109"/>
      <c r="D307" s="109"/>
      <c r="E307" s="109"/>
      <c r="F307" s="109"/>
      <c r="G307" s="109"/>
      <c r="H307" s="109"/>
      <c r="I307" s="109"/>
      <c r="J307" s="110"/>
    </row>
    <row r="308" spans="1:80" s="8" customFormat="1" ht="15.95" customHeight="1" thickBot="1" x14ac:dyDescent="0.3">
      <c r="A308" s="112" t="s">
        <v>172</v>
      </c>
      <c r="B308" s="112"/>
      <c r="C308" s="112"/>
      <c r="D308" s="112"/>
      <c r="E308" s="112"/>
      <c r="F308" s="112"/>
      <c r="G308" s="112"/>
      <c r="H308" s="112"/>
      <c r="I308" s="112"/>
      <c r="J308" s="112"/>
      <c r="K308" s="34"/>
      <c r="L308" s="34"/>
      <c r="M308" s="34"/>
      <c r="N308" s="18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  <c r="BA308" s="6"/>
      <c r="BB308" s="6"/>
      <c r="BC308" s="6"/>
      <c r="BD308" s="6"/>
      <c r="BE308" s="6"/>
      <c r="BF308" s="6"/>
      <c r="BG308" s="6"/>
      <c r="BH308" s="6"/>
      <c r="BI308" s="6"/>
      <c r="BJ308" s="6"/>
      <c r="BK308" s="6"/>
      <c r="BL308" s="6"/>
      <c r="BM308" s="6"/>
      <c r="BN308" s="6"/>
      <c r="BO308" s="6"/>
      <c r="BP308" s="6"/>
      <c r="BQ308" s="6"/>
      <c r="BR308" s="6"/>
      <c r="BS308" s="6"/>
      <c r="BT308" s="6"/>
      <c r="BU308" s="6"/>
      <c r="BV308" s="6"/>
      <c r="BW308" s="6"/>
      <c r="BX308" s="6"/>
      <c r="BY308" s="6"/>
      <c r="BZ308" s="6"/>
      <c r="CA308" s="6"/>
      <c r="CB308" s="6"/>
    </row>
    <row r="309" spans="1:80" ht="18.75" x14ac:dyDescent="0.25">
      <c r="A309" s="48" t="s">
        <v>12</v>
      </c>
      <c r="B309" s="62" t="s">
        <v>8</v>
      </c>
      <c r="C309" s="15" t="s">
        <v>0</v>
      </c>
      <c r="D309" s="24" t="s">
        <v>1</v>
      </c>
      <c r="E309" s="24" t="s">
        <v>2</v>
      </c>
      <c r="F309" s="24" t="s">
        <v>3</v>
      </c>
      <c r="G309" s="24" t="s">
        <v>4</v>
      </c>
      <c r="H309" s="24" t="s">
        <v>5</v>
      </c>
      <c r="I309" s="24" t="s">
        <v>30</v>
      </c>
      <c r="J309" s="24" t="s">
        <v>39</v>
      </c>
      <c r="K309" s="35">
        <v>100</v>
      </c>
      <c r="L309" s="35" t="s">
        <v>46</v>
      </c>
      <c r="M309" s="35" t="s">
        <v>2</v>
      </c>
    </row>
    <row r="310" spans="1:80" ht="15.75" thickBot="1" x14ac:dyDescent="0.3">
      <c r="A310" s="51" t="s">
        <v>119</v>
      </c>
      <c r="B310" s="5">
        <f t="shared" ref="B310:B315" si="35">SUM(N310:AX310)</f>
        <v>3</v>
      </c>
      <c r="C310" s="60" t="s">
        <v>15</v>
      </c>
      <c r="D310" s="60" t="s">
        <v>15</v>
      </c>
      <c r="E310" s="61" t="s">
        <v>22</v>
      </c>
      <c r="F310" s="60"/>
      <c r="G310" s="60"/>
      <c r="H310" s="61"/>
      <c r="I310" s="61"/>
      <c r="J310" s="61"/>
      <c r="K310" s="36">
        <f t="shared" ref="K310:K315" si="36">(B310*COUNTA(C310,D310,F310,H310))</f>
        <v>6</v>
      </c>
      <c r="L310" s="36">
        <f t="shared" ref="L310:L315" si="37">(B310*COUNTA(I310,J310))</f>
        <v>0</v>
      </c>
      <c r="M310" s="36">
        <f t="shared" ref="M310:M315" si="38">(B310*COUNTA(E310,G310))</f>
        <v>3</v>
      </c>
      <c r="AC310" s="101">
        <v>1</v>
      </c>
      <c r="AE310" s="101">
        <v>1</v>
      </c>
      <c r="AG310" s="101">
        <v>1</v>
      </c>
    </row>
    <row r="311" spans="1:80" ht="15.75" hidden="1" thickBot="1" x14ac:dyDescent="0.3">
      <c r="A311" s="88"/>
      <c r="B311" s="5">
        <f t="shared" si="35"/>
        <v>0</v>
      </c>
      <c r="C311" s="60"/>
      <c r="D311" s="61"/>
      <c r="E311" s="61"/>
      <c r="F311" s="61"/>
      <c r="G311" s="61"/>
      <c r="H311" s="61"/>
      <c r="I311" s="61"/>
      <c r="J311" s="61"/>
      <c r="K311" s="36">
        <f t="shared" si="36"/>
        <v>0</v>
      </c>
      <c r="L311" s="36">
        <f t="shared" si="37"/>
        <v>0</v>
      </c>
      <c r="M311" s="36">
        <f t="shared" si="38"/>
        <v>0</v>
      </c>
    </row>
    <row r="312" spans="1:80" ht="15.75" hidden="1" thickBot="1" x14ac:dyDescent="0.3">
      <c r="A312" s="88"/>
      <c r="B312" s="5">
        <f t="shared" si="35"/>
        <v>0</v>
      </c>
      <c r="C312" s="60"/>
      <c r="D312" s="61"/>
      <c r="E312" s="61"/>
      <c r="F312" s="61"/>
      <c r="G312" s="61"/>
      <c r="H312" s="61"/>
      <c r="I312" s="61"/>
      <c r="J312" s="61"/>
      <c r="K312" s="36">
        <f t="shared" si="36"/>
        <v>0</v>
      </c>
      <c r="L312" s="36">
        <f t="shared" si="37"/>
        <v>0</v>
      </c>
      <c r="M312" s="36">
        <f t="shared" si="38"/>
        <v>0</v>
      </c>
    </row>
    <row r="313" spans="1:80" ht="15.75" hidden="1" thickBot="1" x14ac:dyDescent="0.3">
      <c r="A313" s="9"/>
      <c r="B313" s="5">
        <f t="shared" si="35"/>
        <v>0</v>
      </c>
      <c r="C313" s="60"/>
      <c r="D313" s="61"/>
      <c r="E313" s="61"/>
      <c r="F313" s="61"/>
      <c r="G313" s="61"/>
      <c r="H313" s="61"/>
      <c r="I313" s="61"/>
      <c r="J313" s="61"/>
      <c r="K313" s="36">
        <f t="shared" si="36"/>
        <v>0</v>
      </c>
      <c r="L313" s="36">
        <f t="shared" si="37"/>
        <v>0</v>
      </c>
      <c r="M313" s="36">
        <f t="shared" si="38"/>
        <v>0</v>
      </c>
    </row>
    <row r="314" spans="1:80" ht="15.75" hidden="1" thickBot="1" x14ac:dyDescent="0.3">
      <c r="A314" s="9"/>
      <c r="B314" s="5">
        <f t="shared" si="35"/>
        <v>0</v>
      </c>
      <c r="C314" s="60"/>
      <c r="D314" s="61"/>
      <c r="E314" s="61"/>
      <c r="F314" s="61"/>
      <c r="G314" s="61"/>
      <c r="H314" s="61"/>
      <c r="I314" s="61"/>
      <c r="J314" s="61"/>
      <c r="K314" s="36">
        <f t="shared" si="36"/>
        <v>0</v>
      </c>
      <c r="L314" s="36">
        <f t="shared" si="37"/>
        <v>0</v>
      </c>
      <c r="M314" s="36">
        <f t="shared" si="38"/>
        <v>0</v>
      </c>
    </row>
    <row r="315" spans="1:80" ht="15.75" hidden="1" thickBot="1" x14ac:dyDescent="0.3">
      <c r="A315" s="9"/>
      <c r="B315" s="5">
        <f t="shared" si="35"/>
        <v>0</v>
      </c>
      <c r="C315" s="60"/>
      <c r="D315" s="61"/>
      <c r="E315" s="61"/>
      <c r="F315" s="61"/>
      <c r="G315" s="61"/>
      <c r="H315" s="61"/>
      <c r="I315" s="61"/>
      <c r="J315" s="61"/>
      <c r="K315" s="36">
        <f t="shared" si="36"/>
        <v>0</v>
      </c>
      <c r="L315" s="36">
        <f t="shared" si="37"/>
        <v>0</v>
      </c>
      <c r="M315" s="36">
        <f t="shared" si="38"/>
        <v>0</v>
      </c>
    </row>
    <row r="316" spans="1:80" ht="15.75" thickBot="1" x14ac:dyDescent="0.3">
      <c r="A316" s="49" t="s">
        <v>13</v>
      </c>
      <c r="B316" s="10">
        <f>SUM(B310:B315)</f>
        <v>3</v>
      </c>
      <c r="C316" s="11"/>
      <c r="D316" s="12"/>
      <c r="E316" s="12"/>
      <c r="F316" s="12"/>
      <c r="G316" s="12"/>
      <c r="H316" s="12"/>
      <c r="I316" s="12"/>
      <c r="J316" s="12"/>
      <c r="K316" s="37"/>
      <c r="L316" s="37"/>
      <c r="M316" s="37"/>
    </row>
    <row r="317" spans="1:80" x14ac:dyDescent="0.25">
      <c r="A317" s="50"/>
      <c r="B317" s="16"/>
      <c r="C317" s="11"/>
      <c r="D317" s="12"/>
      <c r="E317" s="12"/>
      <c r="F317" s="12"/>
      <c r="G317" s="12"/>
      <c r="H317" s="12"/>
      <c r="I317" s="12"/>
      <c r="J317" s="12"/>
      <c r="K317" s="37"/>
      <c r="L317" s="37"/>
      <c r="M317" s="37"/>
    </row>
    <row r="318" spans="1:80" s="8" customFormat="1" ht="15.95" customHeight="1" thickBot="1" x14ac:dyDescent="0.3">
      <c r="A318" s="112" t="s">
        <v>62</v>
      </c>
      <c r="B318" s="112"/>
      <c r="C318" s="112"/>
      <c r="D318" s="112"/>
      <c r="E318" s="112"/>
      <c r="F318" s="112"/>
      <c r="G318" s="112"/>
      <c r="H318" s="112"/>
      <c r="I318" s="112"/>
      <c r="J318" s="112"/>
      <c r="K318" s="34"/>
      <c r="L318" s="34"/>
      <c r="M318" s="34"/>
      <c r="N318" s="18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  <c r="AZ318" s="6"/>
      <c r="BA318" s="6"/>
      <c r="BB318" s="6"/>
      <c r="BC318" s="6"/>
      <c r="BD318" s="6"/>
      <c r="BE318" s="6"/>
      <c r="BF318" s="6"/>
      <c r="BG318" s="6"/>
      <c r="BH318" s="6"/>
      <c r="BI318" s="6"/>
      <c r="BJ318" s="6"/>
      <c r="BK318" s="6"/>
      <c r="BL318" s="6"/>
      <c r="BM318" s="6"/>
      <c r="BN318" s="6"/>
      <c r="BO318" s="6"/>
      <c r="BP318" s="6"/>
      <c r="BQ318" s="6"/>
      <c r="BR318" s="6"/>
      <c r="BS318" s="6"/>
      <c r="BT318" s="6"/>
      <c r="BU318" s="6"/>
      <c r="BV318" s="6"/>
      <c r="BW318" s="6"/>
      <c r="BX318" s="6"/>
      <c r="BY318" s="6"/>
      <c r="BZ318" s="6"/>
      <c r="CA318" s="6"/>
      <c r="CB318" s="6"/>
    </row>
    <row r="319" spans="1:80" x14ac:dyDescent="0.25">
      <c r="A319" s="48" t="s">
        <v>12</v>
      </c>
      <c r="B319" s="62" t="s">
        <v>8</v>
      </c>
      <c r="C319" s="134" t="s">
        <v>35</v>
      </c>
      <c r="D319" s="115"/>
      <c r="E319" s="118"/>
      <c r="F319" s="126" t="s">
        <v>40</v>
      </c>
      <c r="G319" s="115"/>
      <c r="H319" s="115"/>
      <c r="I319" s="115"/>
      <c r="J319" s="118"/>
      <c r="K319" s="38"/>
      <c r="L319" s="39"/>
      <c r="M319" s="39"/>
    </row>
    <row r="320" spans="1:80" ht="15" customHeight="1" x14ac:dyDescent="0.25">
      <c r="A320" s="9"/>
      <c r="B320" s="5">
        <f>SUM(K310:K315)+SUM(N320:AX320)</f>
        <v>6</v>
      </c>
      <c r="C320" s="123" t="s">
        <v>36</v>
      </c>
      <c r="D320" s="124"/>
      <c r="E320" s="125"/>
      <c r="F320" s="127" t="s">
        <v>41</v>
      </c>
      <c r="G320" s="128"/>
      <c r="H320" s="128"/>
      <c r="I320" s="128"/>
      <c r="J320" s="129"/>
      <c r="K320" s="40"/>
      <c r="L320" s="41"/>
      <c r="M320" s="41"/>
    </row>
    <row r="321" spans="1:80" ht="15" hidden="1" customHeight="1" x14ac:dyDescent="0.25">
      <c r="A321" s="9"/>
      <c r="B321" s="5">
        <f>SUM(L310:L315)+SUM(N321:AX321)</f>
        <v>0</v>
      </c>
      <c r="C321" s="123" t="s">
        <v>37</v>
      </c>
      <c r="D321" s="124"/>
      <c r="E321" s="125"/>
      <c r="F321" s="127" t="s">
        <v>42</v>
      </c>
      <c r="G321" s="128"/>
      <c r="H321" s="128"/>
      <c r="I321" s="128"/>
      <c r="J321" s="129"/>
      <c r="K321" s="40"/>
      <c r="L321" s="41"/>
      <c r="M321" s="41"/>
    </row>
    <row r="322" spans="1:80" ht="15.75" customHeight="1" thickBot="1" x14ac:dyDescent="0.3">
      <c r="A322" s="9"/>
      <c r="B322" s="5">
        <f>SUM(M310:M315)+SUM(N322:AX322)</f>
        <v>3</v>
      </c>
      <c r="C322" s="123" t="s">
        <v>38</v>
      </c>
      <c r="D322" s="124"/>
      <c r="E322" s="125"/>
      <c r="F322" s="127" t="s">
        <v>43</v>
      </c>
      <c r="G322" s="128"/>
      <c r="H322" s="128"/>
      <c r="I322" s="128"/>
      <c r="J322" s="129"/>
      <c r="K322" s="40"/>
      <c r="L322" s="41"/>
      <c r="M322" s="41"/>
    </row>
    <row r="323" spans="1:80" ht="15.75" thickBot="1" x14ac:dyDescent="0.3">
      <c r="A323" s="49" t="s">
        <v>13</v>
      </c>
      <c r="B323" s="10">
        <f>SUM(B320:B322)</f>
        <v>9</v>
      </c>
      <c r="C323" s="11"/>
      <c r="D323" s="12"/>
      <c r="E323" s="12"/>
      <c r="F323" s="12"/>
      <c r="G323" s="12"/>
      <c r="H323" s="12"/>
      <c r="I323" s="12"/>
      <c r="J323" s="12"/>
      <c r="K323" s="37"/>
      <c r="L323" s="37"/>
      <c r="M323" s="37"/>
    </row>
    <row r="324" spans="1:80" ht="15" customHeight="1" x14ac:dyDescent="0.25">
      <c r="A324" s="133" t="s">
        <v>45</v>
      </c>
      <c r="B324" s="133"/>
      <c r="C324" s="133"/>
      <c r="D324" s="133"/>
      <c r="E324" s="133"/>
      <c r="F324" s="133"/>
      <c r="G324" s="133"/>
      <c r="H324" s="133"/>
      <c r="I324" s="133"/>
      <c r="J324" s="133"/>
      <c r="K324" s="37"/>
      <c r="L324" s="37"/>
      <c r="M324" s="37"/>
    </row>
    <row r="325" spans="1:80" x14ac:dyDescent="0.25">
      <c r="A325" s="133"/>
      <c r="B325" s="133"/>
      <c r="C325" s="133"/>
      <c r="D325" s="133"/>
      <c r="E325" s="133"/>
      <c r="F325" s="133"/>
      <c r="G325" s="133"/>
      <c r="H325" s="133"/>
      <c r="I325" s="133"/>
      <c r="J325" s="133"/>
      <c r="K325" s="37"/>
      <c r="L325" s="37"/>
      <c r="M325" s="37"/>
    </row>
    <row r="327" spans="1:80" x14ac:dyDescent="0.25">
      <c r="A327" s="102" t="s">
        <v>120</v>
      </c>
      <c r="B327" s="103"/>
      <c r="C327" s="103"/>
      <c r="D327" s="103"/>
      <c r="E327" s="103"/>
      <c r="F327" s="103"/>
      <c r="G327" s="103"/>
      <c r="H327" s="103"/>
      <c r="I327" s="103"/>
      <c r="J327" s="104"/>
    </row>
    <row r="328" spans="1:80" x14ac:dyDescent="0.25">
      <c r="A328" s="105"/>
      <c r="B328" s="106"/>
      <c r="C328" s="106"/>
      <c r="D328" s="106"/>
      <c r="E328" s="106"/>
      <c r="F328" s="106"/>
      <c r="G328" s="106"/>
      <c r="H328" s="106"/>
      <c r="I328" s="106"/>
      <c r="J328" s="107"/>
    </row>
    <row r="329" spans="1:80" x14ac:dyDescent="0.25">
      <c r="A329" s="108"/>
      <c r="B329" s="109"/>
      <c r="C329" s="109"/>
      <c r="D329" s="109"/>
      <c r="E329" s="109"/>
      <c r="F329" s="109"/>
      <c r="G329" s="109"/>
      <c r="H329" s="109"/>
      <c r="I329" s="109"/>
      <c r="J329" s="110"/>
    </row>
    <row r="330" spans="1:80" s="8" customFormat="1" ht="15.95" customHeight="1" thickBot="1" x14ac:dyDescent="0.3">
      <c r="A330" s="112" t="s">
        <v>172</v>
      </c>
      <c r="B330" s="112"/>
      <c r="C330" s="112"/>
      <c r="D330" s="112"/>
      <c r="E330" s="112"/>
      <c r="F330" s="112"/>
      <c r="G330" s="112"/>
      <c r="H330" s="112"/>
      <c r="I330" s="112"/>
      <c r="J330" s="112"/>
      <c r="K330" s="34"/>
      <c r="L330" s="34"/>
      <c r="M330" s="34"/>
      <c r="N330" s="18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  <c r="BA330" s="6"/>
      <c r="BB330" s="6"/>
      <c r="BC330" s="6"/>
      <c r="BD330" s="6"/>
      <c r="BE330" s="6"/>
      <c r="BF330" s="6"/>
      <c r="BG330" s="6"/>
      <c r="BH330" s="6"/>
      <c r="BI330" s="6"/>
      <c r="BJ330" s="6"/>
      <c r="BK330" s="6"/>
      <c r="BL330" s="6"/>
      <c r="BM330" s="6"/>
      <c r="BN330" s="6"/>
      <c r="BO330" s="6"/>
      <c r="BP330" s="6"/>
      <c r="BQ330" s="6"/>
      <c r="BR330" s="6"/>
      <c r="BS330" s="6"/>
      <c r="BT330" s="6"/>
      <c r="BU330" s="6"/>
      <c r="BV330" s="6"/>
      <c r="BW330" s="6"/>
      <c r="BX330" s="6"/>
      <c r="BY330" s="6"/>
      <c r="BZ330" s="6"/>
      <c r="CA330" s="6"/>
      <c r="CB330" s="6"/>
    </row>
    <row r="331" spans="1:80" ht="18.75" x14ac:dyDescent="0.25">
      <c r="A331" s="48" t="s">
        <v>12</v>
      </c>
      <c r="B331" s="62" t="s">
        <v>8</v>
      </c>
      <c r="C331" s="15" t="s">
        <v>0</v>
      </c>
      <c r="D331" s="24" t="s">
        <v>1</v>
      </c>
      <c r="E331" s="24" t="s">
        <v>2</v>
      </c>
      <c r="F331" s="24" t="s">
        <v>3</v>
      </c>
      <c r="G331" s="24" t="s">
        <v>4</v>
      </c>
      <c r="H331" s="24" t="s">
        <v>5</v>
      </c>
      <c r="I331" s="24" t="s">
        <v>30</v>
      </c>
      <c r="J331" s="24" t="s">
        <v>39</v>
      </c>
      <c r="K331" s="35">
        <v>100</v>
      </c>
      <c r="L331" s="35" t="s">
        <v>46</v>
      </c>
      <c r="M331" s="35" t="s">
        <v>2</v>
      </c>
    </row>
    <row r="332" spans="1:80" ht="15.75" thickBot="1" x14ac:dyDescent="0.3">
      <c r="A332" s="51" t="s">
        <v>121</v>
      </c>
      <c r="B332" s="5">
        <f t="shared" ref="B332:B337" si="39">SUM(N332:AX332)</f>
        <v>3</v>
      </c>
      <c r="C332" s="60" t="s">
        <v>15</v>
      </c>
      <c r="D332" s="60" t="s">
        <v>15</v>
      </c>
      <c r="E332" s="61" t="s">
        <v>22</v>
      </c>
      <c r="F332" s="60"/>
      <c r="G332" s="60"/>
      <c r="H332" s="61"/>
      <c r="I332" s="61"/>
      <c r="J332" s="61"/>
      <c r="K332" s="36">
        <f t="shared" ref="K332:K337" si="40">(B332*COUNTA(C332,D332,F332,H332))</f>
        <v>6</v>
      </c>
      <c r="L332" s="36">
        <f t="shared" ref="L332:L337" si="41">(B332*COUNTA(I332,J332))</f>
        <v>0</v>
      </c>
      <c r="M332" s="36">
        <f t="shared" ref="M332:M337" si="42">(B332*COUNTA(E332,G332))</f>
        <v>3</v>
      </c>
      <c r="AI332" s="28">
        <v>1</v>
      </c>
      <c r="AK332" s="28">
        <v>1</v>
      </c>
      <c r="AM332" s="28">
        <v>1</v>
      </c>
    </row>
    <row r="333" spans="1:80" ht="15.75" hidden="1" thickBot="1" x14ac:dyDescent="0.3">
      <c r="A333" s="88"/>
      <c r="B333" s="5">
        <f t="shared" si="39"/>
        <v>0</v>
      </c>
      <c r="C333" s="60"/>
      <c r="D333" s="61"/>
      <c r="E333" s="61"/>
      <c r="F333" s="61"/>
      <c r="G333" s="61"/>
      <c r="H333" s="61"/>
      <c r="I333" s="61"/>
      <c r="J333" s="61"/>
      <c r="K333" s="36">
        <f t="shared" si="40"/>
        <v>0</v>
      </c>
      <c r="L333" s="36">
        <f t="shared" si="41"/>
        <v>0</v>
      </c>
      <c r="M333" s="36">
        <f t="shared" si="42"/>
        <v>0</v>
      </c>
    </row>
    <row r="334" spans="1:80" ht="15.75" hidden="1" thickBot="1" x14ac:dyDescent="0.3">
      <c r="A334" s="88"/>
      <c r="B334" s="5">
        <f t="shared" si="39"/>
        <v>0</v>
      </c>
      <c r="C334" s="60"/>
      <c r="D334" s="61"/>
      <c r="E334" s="61"/>
      <c r="F334" s="61"/>
      <c r="G334" s="61"/>
      <c r="H334" s="61"/>
      <c r="I334" s="61"/>
      <c r="J334" s="61"/>
      <c r="K334" s="36">
        <f t="shared" si="40"/>
        <v>0</v>
      </c>
      <c r="L334" s="36">
        <f t="shared" si="41"/>
        <v>0</v>
      </c>
      <c r="M334" s="36">
        <f t="shared" si="42"/>
        <v>0</v>
      </c>
    </row>
    <row r="335" spans="1:80" ht="15.75" hidden="1" thickBot="1" x14ac:dyDescent="0.3">
      <c r="A335" s="9"/>
      <c r="B335" s="5">
        <f t="shared" si="39"/>
        <v>0</v>
      </c>
      <c r="C335" s="60"/>
      <c r="D335" s="61"/>
      <c r="E335" s="61"/>
      <c r="F335" s="61"/>
      <c r="G335" s="61"/>
      <c r="H335" s="61"/>
      <c r="I335" s="61"/>
      <c r="J335" s="61"/>
      <c r="K335" s="36">
        <f t="shared" si="40"/>
        <v>0</v>
      </c>
      <c r="L335" s="36">
        <f t="shared" si="41"/>
        <v>0</v>
      </c>
      <c r="M335" s="36">
        <f t="shared" si="42"/>
        <v>0</v>
      </c>
    </row>
    <row r="336" spans="1:80" ht="15.75" hidden="1" thickBot="1" x14ac:dyDescent="0.3">
      <c r="A336" s="9"/>
      <c r="B336" s="5">
        <f t="shared" si="39"/>
        <v>0</v>
      </c>
      <c r="C336" s="60"/>
      <c r="D336" s="61"/>
      <c r="E336" s="61"/>
      <c r="F336" s="61"/>
      <c r="G336" s="61"/>
      <c r="H336" s="61"/>
      <c r="I336" s="61"/>
      <c r="J336" s="61"/>
      <c r="K336" s="36">
        <f t="shared" si="40"/>
        <v>0</v>
      </c>
      <c r="L336" s="36">
        <f t="shared" si="41"/>
        <v>0</v>
      </c>
      <c r="M336" s="36">
        <f t="shared" si="42"/>
        <v>0</v>
      </c>
    </row>
    <row r="337" spans="1:80" ht="15.75" hidden="1" thickBot="1" x14ac:dyDescent="0.3">
      <c r="A337" s="9"/>
      <c r="B337" s="5">
        <f t="shared" si="39"/>
        <v>0</v>
      </c>
      <c r="C337" s="60"/>
      <c r="D337" s="61"/>
      <c r="E337" s="61"/>
      <c r="F337" s="61"/>
      <c r="G337" s="61"/>
      <c r="H337" s="61"/>
      <c r="I337" s="61"/>
      <c r="J337" s="61"/>
      <c r="K337" s="36">
        <f t="shared" si="40"/>
        <v>0</v>
      </c>
      <c r="L337" s="36">
        <f t="shared" si="41"/>
        <v>0</v>
      </c>
      <c r="M337" s="36">
        <f t="shared" si="42"/>
        <v>0</v>
      </c>
    </row>
    <row r="338" spans="1:80" ht="15.75" thickBot="1" x14ac:dyDescent="0.3">
      <c r="A338" s="49" t="s">
        <v>13</v>
      </c>
      <c r="B338" s="10">
        <f>SUM(B332:B337)</f>
        <v>3</v>
      </c>
      <c r="C338" s="11"/>
      <c r="D338" s="12"/>
      <c r="E338" s="12"/>
      <c r="F338" s="12"/>
      <c r="G338" s="12"/>
      <c r="H338" s="12"/>
      <c r="I338" s="12"/>
      <c r="J338" s="12"/>
      <c r="K338" s="37"/>
      <c r="L338" s="37"/>
      <c r="M338" s="37"/>
    </row>
    <row r="339" spans="1:80" x14ac:dyDescent="0.25">
      <c r="A339" s="50"/>
      <c r="B339" s="16"/>
      <c r="C339" s="11"/>
      <c r="D339" s="12"/>
      <c r="E339" s="12"/>
      <c r="F339" s="12"/>
      <c r="G339" s="12"/>
      <c r="H339" s="12"/>
      <c r="I339" s="12"/>
      <c r="J339" s="12"/>
      <c r="K339" s="37"/>
      <c r="L339" s="37"/>
      <c r="M339" s="37"/>
    </row>
    <row r="340" spans="1:80" s="8" customFormat="1" ht="15.95" customHeight="1" thickBot="1" x14ac:dyDescent="0.3">
      <c r="A340" s="112" t="s">
        <v>62</v>
      </c>
      <c r="B340" s="112"/>
      <c r="C340" s="112"/>
      <c r="D340" s="112"/>
      <c r="E340" s="112"/>
      <c r="F340" s="112"/>
      <c r="G340" s="112"/>
      <c r="H340" s="112"/>
      <c r="I340" s="112"/>
      <c r="J340" s="112"/>
      <c r="K340" s="34"/>
      <c r="L340" s="34"/>
      <c r="M340" s="34"/>
      <c r="N340" s="18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  <c r="BA340" s="6"/>
      <c r="BB340" s="6"/>
      <c r="BC340" s="6"/>
      <c r="BD340" s="6"/>
      <c r="BE340" s="6"/>
      <c r="BF340" s="6"/>
      <c r="BG340" s="6"/>
      <c r="BH340" s="6"/>
      <c r="BI340" s="6"/>
      <c r="BJ340" s="6"/>
      <c r="BK340" s="6"/>
      <c r="BL340" s="6"/>
      <c r="BM340" s="6"/>
      <c r="BN340" s="6"/>
      <c r="BO340" s="6"/>
      <c r="BP340" s="6"/>
      <c r="BQ340" s="6"/>
      <c r="BR340" s="6"/>
      <c r="BS340" s="6"/>
      <c r="BT340" s="6"/>
      <c r="BU340" s="6"/>
      <c r="BV340" s="6"/>
      <c r="BW340" s="6"/>
      <c r="BX340" s="6"/>
      <c r="BY340" s="6"/>
      <c r="BZ340" s="6"/>
      <c r="CA340" s="6"/>
      <c r="CB340" s="6"/>
    </row>
    <row r="341" spans="1:80" x14ac:dyDescent="0.25">
      <c r="A341" s="48" t="s">
        <v>12</v>
      </c>
      <c r="B341" s="62" t="s">
        <v>8</v>
      </c>
      <c r="C341" s="134" t="s">
        <v>35</v>
      </c>
      <c r="D341" s="115"/>
      <c r="E341" s="118"/>
      <c r="F341" s="126" t="s">
        <v>40</v>
      </c>
      <c r="G341" s="115"/>
      <c r="H341" s="115"/>
      <c r="I341" s="115"/>
      <c r="J341" s="118"/>
      <c r="K341" s="38"/>
      <c r="L341" s="39"/>
      <c r="M341" s="39"/>
    </row>
    <row r="342" spans="1:80" ht="15" customHeight="1" x14ac:dyDescent="0.25">
      <c r="A342" s="9"/>
      <c r="B342" s="5">
        <f>SUM(K332:K337)+SUM(N342:AX342)</f>
        <v>6</v>
      </c>
      <c r="C342" s="123" t="s">
        <v>36</v>
      </c>
      <c r="D342" s="124"/>
      <c r="E342" s="125"/>
      <c r="F342" s="127" t="s">
        <v>41</v>
      </c>
      <c r="G342" s="128"/>
      <c r="H342" s="128"/>
      <c r="I342" s="128"/>
      <c r="J342" s="129"/>
      <c r="K342" s="40"/>
      <c r="L342" s="41"/>
      <c r="M342" s="41"/>
    </row>
    <row r="343" spans="1:80" ht="15" hidden="1" customHeight="1" x14ac:dyDescent="0.25">
      <c r="A343" s="9"/>
      <c r="B343" s="5">
        <f>SUM(L332:L337)+SUM(N343:AX343)</f>
        <v>0</v>
      </c>
      <c r="C343" s="123" t="s">
        <v>37</v>
      </c>
      <c r="D343" s="124"/>
      <c r="E343" s="125"/>
      <c r="F343" s="127" t="s">
        <v>42</v>
      </c>
      <c r="G343" s="128"/>
      <c r="H343" s="128"/>
      <c r="I343" s="128"/>
      <c r="J343" s="129"/>
      <c r="K343" s="40"/>
      <c r="L343" s="41"/>
      <c r="M343" s="41"/>
    </row>
    <row r="344" spans="1:80" ht="15.75" customHeight="1" thickBot="1" x14ac:dyDescent="0.3">
      <c r="A344" s="9"/>
      <c r="B344" s="5">
        <f>SUM(M332:M337)+SUM(N344:AX344)</f>
        <v>3</v>
      </c>
      <c r="C344" s="123" t="s">
        <v>38</v>
      </c>
      <c r="D344" s="124"/>
      <c r="E344" s="125"/>
      <c r="F344" s="127" t="s">
        <v>43</v>
      </c>
      <c r="G344" s="128"/>
      <c r="H344" s="128"/>
      <c r="I344" s="128"/>
      <c r="J344" s="129"/>
      <c r="K344" s="40"/>
      <c r="L344" s="41"/>
      <c r="M344" s="41"/>
    </row>
    <row r="345" spans="1:80" ht="15.75" thickBot="1" x14ac:dyDescent="0.3">
      <c r="A345" s="49" t="s">
        <v>13</v>
      </c>
      <c r="B345" s="10">
        <f>SUM(B342:B344)</f>
        <v>9</v>
      </c>
      <c r="C345" s="11"/>
      <c r="D345" s="12"/>
      <c r="E345" s="12"/>
      <c r="F345" s="12"/>
      <c r="G345" s="12"/>
      <c r="H345" s="12"/>
      <c r="I345" s="12"/>
      <c r="J345" s="12"/>
      <c r="K345" s="37"/>
      <c r="L345" s="37"/>
      <c r="M345" s="37"/>
    </row>
    <row r="346" spans="1:80" ht="15" customHeight="1" x14ac:dyDescent="0.25">
      <c r="A346" s="133" t="s">
        <v>45</v>
      </c>
      <c r="B346" s="133"/>
      <c r="C346" s="133"/>
      <c r="D346" s="133"/>
      <c r="E346" s="133"/>
      <c r="F346" s="133"/>
      <c r="G346" s="133"/>
      <c r="H346" s="133"/>
      <c r="I346" s="133"/>
      <c r="J346" s="133"/>
      <c r="K346" s="37"/>
      <c r="L346" s="37"/>
      <c r="M346" s="37"/>
    </row>
    <row r="347" spans="1:80" x14ac:dyDescent="0.25">
      <c r="A347" s="133"/>
      <c r="B347" s="133"/>
      <c r="C347" s="133"/>
      <c r="D347" s="133"/>
      <c r="E347" s="133"/>
      <c r="F347" s="133"/>
      <c r="G347" s="133"/>
      <c r="H347" s="133"/>
      <c r="I347" s="133"/>
      <c r="J347" s="133"/>
      <c r="K347" s="37"/>
      <c r="L347" s="37"/>
      <c r="M347" s="37"/>
    </row>
    <row r="349" spans="1:80" x14ac:dyDescent="0.25">
      <c r="A349" s="102" t="s">
        <v>123</v>
      </c>
      <c r="B349" s="103"/>
      <c r="C349" s="103"/>
      <c r="D349" s="103"/>
      <c r="E349" s="103"/>
      <c r="F349" s="103"/>
      <c r="G349" s="103"/>
      <c r="H349" s="103"/>
      <c r="I349" s="103"/>
      <c r="J349" s="104"/>
    </row>
    <row r="350" spans="1:80" x14ac:dyDescent="0.25">
      <c r="A350" s="105"/>
      <c r="B350" s="106"/>
      <c r="C350" s="106"/>
      <c r="D350" s="106"/>
      <c r="E350" s="106"/>
      <c r="F350" s="106"/>
      <c r="G350" s="106"/>
      <c r="H350" s="106"/>
      <c r="I350" s="106"/>
      <c r="J350" s="107"/>
    </row>
    <row r="351" spans="1:80" x14ac:dyDescent="0.25">
      <c r="A351" s="108"/>
      <c r="B351" s="109"/>
      <c r="C351" s="109"/>
      <c r="D351" s="109"/>
      <c r="E351" s="109"/>
      <c r="F351" s="109"/>
      <c r="G351" s="109"/>
      <c r="H351" s="109"/>
      <c r="I351" s="109"/>
      <c r="J351" s="110"/>
    </row>
    <row r="352" spans="1:80" s="8" customFormat="1" ht="15.95" customHeight="1" thickBot="1" x14ac:dyDescent="0.3">
      <c r="A352" s="112" t="s">
        <v>172</v>
      </c>
      <c r="B352" s="112"/>
      <c r="C352" s="112"/>
      <c r="D352" s="112"/>
      <c r="E352" s="112"/>
      <c r="F352" s="112"/>
      <c r="G352" s="112"/>
      <c r="H352" s="112"/>
      <c r="I352" s="112"/>
      <c r="J352" s="112"/>
      <c r="K352" s="34"/>
      <c r="L352" s="34"/>
      <c r="M352" s="34"/>
      <c r="N352" s="18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  <c r="AZ352" s="6"/>
      <c r="BA352" s="6"/>
      <c r="BB352" s="6"/>
      <c r="BC352" s="6"/>
      <c r="BD352" s="6"/>
      <c r="BE352" s="6"/>
      <c r="BF352" s="6"/>
      <c r="BG352" s="6"/>
      <c r="BH352" s="6"/>
      <c r="BI352" s="6"/>
      <c r="BJ352" s="6"/>
      <c r="BK352" s="6"/>
      <c r="BL352" s="6"/>
      <c r="BM352" s="6"/>
      <c r="BN352" s="6"/>
      <c r="BO352" s="6"/>
      <c r="BP352" s="6"/>
      <c r="BQ352" s="6"/>
      <c r="BR352" s="6"/>
      <c r="BS352" s="6"/>
      <c r="BT352" s="6"/>
      <c r="BU352" s="6"/>
      <c r="BV352" s="6"/>
      <c r="BW352" s="6"/>
      <c r="BX352" s="6"/>
      <c r="BY352" s="6"/>
      <c r="BZ352" s="6"/>
      <c r="CA352" s="6"/>
      <c r="CB352" s="6"/>
    </row>
    <row r="353" spans="1:80" ht="18.75" x14ac:dyDescent="0.25">
      <c r="A353" s="48" t="s">
        <v>12</v>
      </c>
      <c r="B353" s="62" t="s">
        <v>8</v>
      </c>
      <c r="C353" s="15" t="s">
        <v>0</v>
      </c>
      <c r="D353" s="24" t="s">
        <v>1</v>
      </c>
      <c r="E353" s="24" t="s">
        <v>2</v>
      </c>
      <c r="F353" s="24" t="s">
        <v>3</v>
      </c>
      <c r="G353" s="24" t="s">
        <v>4</v>
      </c>
      <c r="H353" s="24" t="s">
        <v>5</v>
      </c>
      <c r="I353" s="24" t="s">
        <v>30</v>
      </c>
      <c r="J353" s="24" t="s">
        <v>39</v>
      </c>
      <c r="K353" s="35">
        <v>100</v>
      </c>
      <c r="L353" s="35" t="s">
        <v>46</v>
      </c>
      <c r="M353" s="35" t="s">
        <v>2</v>
      </c>
    </row>
    <row r="354" spans="1:80" ht="15.75" thickBot="1" x14ac:dyDescent="0.3">
      <c r="A354" s="51" t="s">
        <v>122</v>
      </c>
      <c r="B354" s="5">
        <f t="shared" ref="B354:B359" si="43">SUM(N354:AX354)</f>
        <v>3</v>
      </c>
      <c r="C354" s="60" t="s">
        <v>15</v>
      </c>
      <c r="D354" s="60" t="s">
        <v>15</v>
      </c>
      <c r="E354" s="61" t="s">
        <v>22</v>
      </c>
      <c r="F354" s="60"/>
      <c r="G354" s="60"/>
      <c r="H354" s="61"/>
      <c r="I354" s="61"/>
      <c r="J354" s="61"/>
      <c r="K354" s="36">
        <f t="shared" ref="K354:K359" si="44">(B354*COUNTA(C354,D354,F354,H354))</f>
        <v>6</v>
      </c>
      <c r="L354" s="36">
        <f t="shared" ref="L354:L359" si="45">(B354*COUNTA(I354,J354))</f>
        <v>0</v>
      </c>
      <c r="M354" s="36">
        <f t="shared" ref="M354:M359" si="46">(B354*COUNTA(E354,G354))</f>
        <v>3</v>
      </c>
      <c r="AO354" s="28">
        <v>1</v>
      </c>
      <c r="AQ354" s="28">
        <v>1</v>
      </c>
      <c r="AS354" s="28">
        <v>1</v>
      </c>
    </row>
    <row r="355" spans="1:80" ht="15.75" hidden="1" thickBot="1" x14ac:dyDescent="0.3">
      <c r="A355" s="88"/>
      <c r="B355" s="5">
        <f t="shared" si="43"/>
        <v>0</v>
      </c>
      <c r="C355" s="60"/>
      <c r="D355" s="61"/>
      <c r="E355" s="61"/>
      <c r="F355" s="61"/>
      <c r="G355" s="61"/>
      <c r="H355" s="61"/>
      <c r="I355" s="61"/>
      <c r="J355" s="61"/>
      <c r="K355" s="36">
        <f t="shared" si="44"/>
        <v>0</v>
      </c>
      <c r="L355" s="36">
        <f t="shared" si="45"/>
        <v>0</v>
      </c>
      <c r="M355" s="36">
        <f t="shared" si="46"/>
        <v>0</v>
      </c>
    </row>
    <row r="356" spans="1:80" ht="15.75" hidden="1" thickBot="1" x14ac:dyDescent="0.3">
      <c r="A356" s="88"/>
      <c r="B356" s="5">
        <f t="shared" si="43"/>
        <v>0</v>
      </c>
      <c r="C356" s="60"/>
      <c r="D356" s="61"/>
      <c r="E356" s="61"/>
      <c r="F356" s="61"/>
      <c r="G356" s="61"/>
      <c r="H356" s="61"/>
      <c r="I356" s="61"/>
      <c r="J356" s="61"/>
      <c r="K356" s="36">
        <f t="shared" si="44"/>
        <v>0</v>
      </c>
      <c r="L356" s="36">
        <f t="shared" si="45"/>
        <v>0</v>
      </c>
      <c r="M356" s="36">
        <f t="shared" si="46"/>
        <v>0</v>
      </c>
    </row>
    <row r="357" spans="1:80" ht="15.75" hidden="1" thickBot="1" x14ac:dyDescent="0.3">
      <c r="A357" s="9"/>
      <c r="B357" s="5">
        <f t="shared" si="43"/>
        <v>0</v>
      </c>
      <c r="C357" s="60"/>
      <c r="D357" s="61"/>
      <c r="E357" s="61"/>
      <c r="F357" s="61"/>
      <c r="G357" s="61"/>
      <c r="H357" s="61"/>
      <c r="I357" s="61"/>
      <c r="J357" s="61"/>
      <c r="K357" s="36">
        <f t="shared" si="44"/>
        <v>0</v>
      </c>
      <c r="L357" s="36">
        <f t="shared" si="45"/>
        <v>0</v>
      </c>
      <c r="M357" s="36">
        <f t="shared" si="46"/>
        <v>0</v>
      </c>
    </row>
    <row r="358" spans="1:80" ht="15.75" hidden="1" thickBot="1" x14ac:dyDescent="0.3">
      <c r="A358" s="9"/>
      <c r="B358" s="5">
        <f t="shared" si="43"/>
        <v>0</v>
      </c>
      <c r="C358" s="60"/>
      <c r="D358" s="61"/>
      <c r="E358" s="61"/>
      <c r="F358" s="61"/>
      <c r="G358" s="61"/>
      <c r="H358" s="61"/>
      <c r="I358" s="61"/>
      <c r="J358" s="61"/>
      <c r="K358" s="36">
        <f t="shared" si="44"/>
        <v>0</v>
      </c>
      <c r="L358" s="36">
        <f t="shared" si="45"/>
        <v>0</v>
      </c>
      <c r="M358" s="36">
        <f t="shared" si="46"/>
        <v>0</v>
      </c>
    </row>
    <row r="359" spans="1:80" ht="15.75" hidden="1" thickBot="1" x14ac:dyDescent="0.3">
      <c r="A359" s="9"/>
      <c r="B359" s="5">
        <f t="shared" si="43"/>
        <v>0</v>
      </c>
      <c r="C359" s="60"/>
      <c r="D359" s="61"/>
      <c r="E359" s="61"/>
      <c r="F359" s="61"/>
      <c r="G359" s="61"/>
      <c r="H359" s="61"/>
      <c r="I359" s="61"/>
      <c r="J359" s="61"/>
      <c r="K359" s="36">
        <f t="shared" si="44"/>
        <v>0</v>
      </c>
      <c r="L359" s="36">
        <f t="shared" si="45"/>
        <v>0</v>
      </c>
      <c r="M359" s="36">
        <f t="shared" si="46"/>
        <v>0</v>
      </c>
    </row>
    <row r="360" spans="1:80" ht="15.75" thickBot="1" x14ac:dyDescent="0.3">
      <c r="A360" s="49" t="s">
        <v>13</v>
      </c>
      <c r="B360" s="10">
        <f>SUM(B354:B359)</f>
        <v>3</v>
      </c>
      <c r="C360" s="11"/>
      <c r="D360" s="12"/>
      <c r="E360" s="12"/>
      <c r="F360" s="12"/>
      <c r="G360" s="12"/>
      <c r="H360" s="12"/>
      <c r="I360" s="12"/>
      <c r="J360" s="12"/>
      <c r="K360" s="37"/>
      <c r="L360" s="37"/>
      <c r="M360" s="37"/>
    </row>
    <row r="361" spans="1:80" x14ac:dyDescent="0.25">
      <c r="A361" s="50"/>
      <c r="B361" s="16"/>
      <c r="C361" s="11"/>
      <c r="D361" s="12"/>
      <c r="E361" s="12"/>
      <c r="F361" s="12"/>
      <c r="G361" s="12"/>
      <c r="H361" s="12"/>
      <c r="I361" s="12"/>
      <c r="J361" s="12"/>
      <c r="K361" s="37"/>
      <c r="L361" s="37"/>
      <c r="M361" s="37"/>
    </row>
    <row r="362" spans="1:80" s="8" customFormat="1" ht="15.95" customHeight="1" thickBot="1" x14ac:dyDescent="0.3">
      <c r="A362" s="112" t="s">
        <v>62</v>
      </c>
      <c r="B362" s="112"/>
      <c r="C362" s="112"/>
      <c r="D362" s="112"/>
      <c r="E362" s="112"/>
      <c r="F362" s="112"/>
      <c r="G362" s="112"/>
      <c r="H362" s="112"/>
      <c r="I362" s="112"/>
      <c r="J362" s="112"/>
      <c r="K362" s="34"/>
      <c r="L362" s="34"/>
      <c r="M362" s="34"/>
      <c r="N362" s="18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  <c r="AY362" s="6"/>
      <c r="AZ362" s="6"/>
      <c r="BA362" s="6"/>
      <c r="BB362" s="6"/>
      <c r="BC362" s="6"/>
      <c r="BD362" s="6"/>
      <c r="BE362" s="6"/>
      <c r="BF362" s="6"/>
      <c r="BG362" s="6"/>
      <c r="BH362" s="6"/>
      <c r="BI362" s="6"/>
      <c r="BJ362" s="6"/>
      <c r="BK362" s="6"/>
      <c r="BL362" s="6"/>
      <c r="BM362" s="6"/>
      <c r="BN362" s="6"/>
      <c r="BO362" s="6"/>
      <c r="BP362" s="6"/>
      <c r="BQ362" s="6"/>
      <c r="BR362" s="6"/>
      <c r="BS362" s="6"/>
      <c r="BT362" s="6"/>
      <c r="BU362" s="6"/>
      <c r="BV362" s="6"/>
      <c r="BW362" s="6"/>
      <c r="BX362" s="6"/>
      <c r="BY362" s="6"/>
      <c r="BZ362" s="6"/>
      <c r="CA362" s="6"/>
      <c r="CB362" s="6"/>
    </row>
    <row r="363" spans="1:80" x14ac:dyDescent="0.25">
      <c r="A363" s="48" t="s">
        <v>12</v>
      </c>
      <c r="B363" s="62" t="s">
        <v>8</v>
      </c>
      <c r="C363" s="134" t="s">
        <v>35</v>
      </c>
      <c r="D363" s="115"/>
      <c r="E363" s="118"/>
      <c r="F363" s="126" t="s">
        <v>40</v>
      </c>
      <c r="G363" s="115"/>
      <c r="H363" s="115"/>
      <c r="I363" s="115"/>
      <c r="J363" s="118"/>
      <c r="K363" s="38"/>
      <c r="L363" s="39"/>
      <c r="M363" s="39"/>
    </row>
    <row r="364" spans="1:80" ht="15" customHeight="1" x14ac:dyDescent="0.25">
      <c r="A364" s="9"/>
      <c r="B364" s="5">
        <f>SUM(K354:K359)+SUM(N364:AX364)</f>
        <v>6</v>
      </c>
      <c r="C364" s="123" t="s">
        <v>36</v>
      </c>
      <c r="D364" s="124"/>
      <c r="E364" s="125"/>
      <c r="F364" s="127" t="s">
        <v>41</v>
      </c>
      <c r="G364" s="128"/>
      <c r="H364" s="128"/>
      <c r="I364" s="128"/>
      <c r="J364" s="129"/>
      <c r="K364" s="40"/>
      <c r="L364" s="41"/>
      <c r="M364" s="41"/>
    </row>
    <row r="365" spans="1:80" ht="15" hidden="1" customHeight="1" x14ac:dyDescent="0.25">
      <c r="A365" s="9"/>
      <c r="B365" s="5">
        <f>SUM(L354:L359)+SUM(N365:AX365)</f>
        <v>0</v>
      </c>
      <c r="C365" s="123" t="s">
        <v>37</v>
      </c>
      <c r="D365" s="124"/>
      <c r="E365" s="125"/>
      <c r="F365" s="127" t="s">
        <v>42</v>
      </c>
      <c r="G365" s="128"/>
      <c r="H365" s="128"/>
      <c r="I365" s="128"/>
      <c r="J365" s="129"/>
      <c r="K365" s="40"/>
      <c r="L365" s="41"/>
      <c r="M365" s="41"/>
    </row>
    <row r="366" spans="1:80" ht="15.75" customHeight="1" thickBot="1" x14ac:dyDescent="0.3">
      <c r="A366" s="9"/>
      <c r="B366" s="5">
        <f>SUM(M354:M359)+SUM(N366:AX366)</f>
        <v>3</v>
      </c>
      <c r="C366" s="123" t="s">
        <v>38</v>
      </c>
      <c r="D366" s="124"/>
      <c r="E366" s="125"/>
      <c r="F366" s="127" t="s">
        <v>43</v>
      </c>
      <c r="G366" s="128"/>
      <c r="H366" s="128"/>
      <c r="I366" s="128"/>
      <c r="J366" s="129"/>
      <c r="K366" s="40"/>
      <c r="L366" s="41"/>
      <c r="M366" s="41"/>
    </row>
    <row r="367" spans="1:80" ht="15.75" thickBot="1" x14ac:dyDescent="0.3">
      <c r="A367" s="49" t="s">
        <v>13</v>
      </c>
      <c r="B367" s="10">
        <f>SUM(B364:B366)</f>
        <v>9</v>
      </c>
      <c r="C367" s="11"/>
      <c r="D367" s="12"/>
      <c r="E367" s="12"/>
      <c r="F367" s="12"/>
      <c r="G367" s="12"/>
      <c r="H367" s="12"/>
      <c r="I367" s="12"/>
      <c r="J367" s="12"/>
      <c r="K367" s="37"/>
      <c r="L367" s="37"/>
      <c r="M367" s="37"/>
    </row>
    <row r="368" spans="1:80" ht="15" customHeight="1" x14ac:dyDescent="0.25">
      <c r="A368" s="133" t="s">
        <v>45</v>
      </c>
      <c r="B368" s="133"/>
      <c r="C368" s="133"/>
      <c r="D368" s="133"/>
      <c r="E368" s="133"/>
      <c r="F368" s="133"/>
      <c r="G368" s="133"/>
      <c r="H368" s="133"/>
      <c r="I368" s="133"/>
      <c r="J368" s="133"/>
      <c r="K368" s="37"/>
      <c r="L368" s="37"/>
      <c r="M368" s="37"/>
    </row>
    <row r="369" spans="1:80" x14ac:dyDescent="0.25">
      <c r="A369" s="133"/>
      <c r="B369" s="133"/>
      <c r="C369" s="133"/>
      <c r="D369" s="133"/>
      <c r="E369" s="133"/>
      <c r="F369" s="133"/>
      <c r="G369" s="133"/>
      <c r="H369" s="133"/>
      <c r="I369" s="133"/>
      <c r="J369" s="133"/>
      <c r="K369" s="37"/>
      <c r="L369" s="37"/>
      <c r="M369" s="37"/>
    </row>
    <row r="371" spans="1:80" x14ac:dyDescent="0.25">
      <c r="A371" s="102" t="s">
        <v>125</v>
      </c>
      <c r="B371" s="103"/>
      <c r="C371" s="103"/>
      <c r="D371" s="103"/>
      <c r="E371" s="103"/>
      <c r="F371" s="103"/>
      <c r="G371" s="103"/>
      <c r="H371" s="103"/>
      <c r="I371" s="103"/>
      <c r="J371" s="104"/>
    </row>
    <row r="372" spans="1:80" x14ac:dyDescent="0.25">
      <c r="A372" s="105"/>
      <c r="B372" s="106"/>
      <c r="C372" s="106"/>
      <c r="D372" s="106"/>
      <c r="E372" s="106"/>
      <c r="F372" s="106"/>
      <c r="G372" s="106"/>
      <c r="H372" s="106"/>
      <c r="I372" s="106"/>
      <c r="J372" s="107"/>
    </row>
    <row r="373" spans="1:80" x14ac:dyDescent="0.25">
      <c r="A373" s="108"/>
      <c r="B373" s="109"/>
      <c r="C373" s="109"/>
      <c r="D373" s="109"/>
      <c r="E373" s="109"/>
      <c r="F373" s="109"/>
      <c r="G373" s="109"/>
      <c r="H373" s="109"/>
      <c r="I373" s="109"/>
      <c r="J373" s="110"/>
    </row>
    <row r="374" spans="1:80" s="8" customFormat="1" ht="15.95" customHeight="1" thickBot="1" x14ac:dyDescent="0.3">
      <c r="A374" s="112" t="s">
        <v>172</v>
      </c>
      <c r="B374" s="112"/>
      <c r="C374" s="112"/>
      <c r="D374" s="112"/>
      <c r="E374" s="112"/>
      <c r="F374" s="112"/>
      <c r="G374" s="112"/>
      <c r="H374" s="112"/>
      <c r="I374" s="112"/>
      <c r="J374" s="112"/>
      <c r="K374" s="34"/>
      <c r="L374" s="34"/>
      <c r="M374" s="34"/>
      <c r="N374" s="18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  <c r="AZ374" s="6"/>
      <c r="BA374" s="6"/>
      <c r="BB374" s="6"/>
      <c r="BC374" s="6"/>
      <c r="BD374" s="6"/>
      <c r="BE374" s="6"/>
      <c r="BF374" s="6"/>
      <c r="BG374" s="6"/>
      <c r="BH374" s="6"/>
      <c r="BI374" s="6"/>
      <c r="BJ374" s="6"/>
      <c r="BK374" s="6"/>
      <c r="BL374" s="6"/>
      <c r="BM374" s="6"/>
      <c r="BN374" s="6"/>
      <c r="BO374" s="6"/>
      <c r="BP374" s="6"/>
      <c r="BQ374" s="6"/>
      <c r="BR374" s="6"/>
      <c r="BS374" s="6"/>
      <c r="BT374" s="6"/>
      <c r="BU374" s="6"/>
      <c r="BV374" s="6"/>
      <c r="BW374" s="6"/>
      <c r="BX374" s="6"/>
      <c r="BY374" s="6"/>
      <c r="BZ374" s="6"/>
      <c r="CA374" s="6"/>
      <c r="CB374" s="6"/>
    </row>
    <row r="375" spans="1:80" ht="18.75" x14ac:dyDescent="0.25">
      <c r="A375" s="48" t="s">
        <v>12</v>
      </c>
      <c r="B375" s="62" t="s">
        <v>8</v>
      </c>
      <c r="C375" s="15" t="s">
        <v>0</v>
      </c>
      <c r="D375" s="24" t="s">
        <v>1</v>
      </c>
      <c r="E375" s="24" t="s">
        <v>2</v>
      </c>
      <c r="F375" s="24" t="s">
        <v>3</v>
      </c>
      <c r="G375" s="24" t="s">
        <v>4</v>
      </c>
      <c r="H375" s="24" t="s">
        <v>5</v>
      </c>
      <c r="I375" s="24" t="s">
        <v>30</v>
      </c>
      <c r="J375" s="24" t="s">
        <v>39</v>
      </c>
      <c r="K375" s="35">
        <v>100</v>
      </c>
      <c r="L375" s="35" t="s">
        <v>46</v>
      </c>
      <c r="M375" s="35" t="s">
        <v>2</v>
      </c>
    </row>
    <row r="376" spans="1:80" ht="15.75" thickBot="1" x14ac:dyDescent="0.3">
      <c r="A376" s="51" t="s">
        <v>124</v>
      </c>
      <c r="B376" s="5">
        <f>SUM(N376:CF376)</f>
        <v>3</v>
      </c>
      <c r="C376" s="60" t="s">
        <v>15</v>
      </c>
      <c r="D376" s="60" t="s">
        <v>15</v>
      </c>
      <c r="E376" s="61" t="s">
        <v>22</v>
      </c>
      <c r="F376" s="60"/>
      <c r="G376" s="60"/>
      <c r="H376" s="61"/>
      <c r="I376" s="61"/>
      <c r="J376" s="61"/>
      <c r="K376" s="36">
        <f t="shared" ref="K376:K381" si="47">(B376*COUNTA(C376,D376,F376,H376))</f>
        <v>6</v>
      </c>
      <c r="L376" s="36">
        <f t="shared" ref="L376:L381" si="48">(B376*COUNTA(I376,J376))</f>
        <v>0</v>
      </c>
      <c r="M376" s="36">
        <f t="shared" ref="M376:M381" si="49">(B376*COUNTA(E376,G376))</f>
        <v>3</v>
      </c>
      <c r="AU376" s="28">
        <v>1</v>
      </c>
      <c r="AW376" s="28">
        <v>1</v>
      </c>
      <c r="AY376" s="28">
        <v>1</v>
      </c>
    </row>
    <row r="377" spans="1:80" ht="15.75" hidden="1" thickBot="1" x14ac:dyDescent="0.3">
      <c r="A377" s="88"/>
      <c r="B377" s="5">
        <f t="shared" ref="B377:B381" si="50">SUM(N377:AX377)</f>
        <v>0</v>
      </c>
      <c r="C377" s="60"/>
      <c r="D377" s="61"/>
      <c r="E377" s="61"/>
      <c r="F377" s="61"/>
      <c r="G377" s="61"/>
      <c r="H377" s="61"/>
      <c r="I377" s="61"/>
      <c r="J377" s="61"/>
      <c r="K377" s="36">
        <f t="shared" si="47"/>
        <v>0</v>
      </c>
      <c r="L377" s="36">
        <f t="shared" si="48"/>
        <v>0</v>
      </c>
      <c r="M377" s="36">
        <f t="shared" si="49"/>
        <v>0</v>
      </c>
    </row>
    <row r="378" spans="1:80" ht="15.75" hidden="1" thickBot="1" x14ac:dyDescent="0.3">
      <c r="A378" s="88"/>
      <c r="B378" s="5">
        <f t="shared" si="50"/>
        <v>0</v>
      </c>
      <c r="C378" s="60"/>
      <c r="D378" s="61"/>
      <c r="E378" s="61"/>
      <c r="F378" s="61"/>
      <c r="G378" s="61"/>
      <c r="H378" s="61"/>
      <c r="I378" s="61"/>
      <c r="J378" s="61"/>
      <c r="K378" s="36">
        <f t="shared" si="47"/>
        <v>0</v>
      </c>
      <c r="L378" s="36">
        <f t="shared" si="48"/>
        <v>0</v>
      </c>
      <c r="M378" s="36">
        <f t="shared" si="49"/>
        <v>0</v>
      </c>
    </row>
    <row r="379" spans="1:80" ht="15.75" hidden="1" thickBot="1" x14ac:dyDescent="0.3">
      <c r="A379" s="9"/>
      <c r="B379" s="5">
        <f t="shared" si="50"/>
        <v>0</v>
      </c>
      <c r="C379" s="60"/>
      <c r="D379" s="61"/>
      <c r="E379" s="61"/>
      <c r="F379" s="61"/>
      <c r="G379" s="61"/>
      <c r="H379" s="61"/>
      <c r="I379" s="61"/>
      <c r="J379" s="61"/>
      <c r="K379" s="36">
        <f t="shared" si="47"/>
        <v>0</v>
      </c>
      <c r="L379" s="36">
        <f t="shared" si="48"/>
        <v>0</v>
      </c>
      <c r="M379" s="36">
        <f t="shared" si="49"/>
        <v>0</v>
      </c>
    </row>
    <row r="380" spans="1:80" ht="15.75" hidden="1" thickBot="1" x14ac:dyDescent="0.3">
      <c r="A380" s="9"/>
      <c r="B380" s="5">
        <f t="shared" si="50"/>
        <v>0</v>
      </c>
      <c r="C380" s="60"/>
      <c r="D380" s="61"/>
      <c r="E380" s="61"/>
      <c r="F380" s="61"/>
      <c r="G380" s="61"/>
      <c r="H380" s="61"/>
      <c r="I380" s="61"/>
      <c r="J380" s="61"/>
      <c r="K380" s="36">
        <f t="shared" si="47"/>
        <v>0</v>
      </c>
      <c r="L380" s="36">
        <f t="shared" si="48"/>
        <v>0</v>
      </c>
      <c r="M380" s="36">
        <f t="shared" si="49"/>
        <v>0</v>
      </c>
    </row>
    <row r="381" spans="1:80" ht="15.75" hidden="1" thickBot="1" x14ac:dyDescent="0.3">
      <c r="A381" s="9"/>
      <c r="B381" s="5">
        <f t="shared" si="50"/>
        <v>0</v>
      </c>
      <c r="C381" s="60"/>
      <c r="D381" s="61"/>
      <c r="E381" s="61"/>
      <c r="F381" s="61"/>
      <c r="G381" s="61"/>
      <c r="H381" s="61"/>
      <c r="I381" s="61"/>
      <c r="J381" s="61"/>
      <c r="K381" s="36">
        <f t="shared" si="47"/>
        <v>0</v>
      </c>
      <c r="L381" s="36">
        <f t="shared" si="48"/>
        <v>0</v>
      </c>
      <c r="M381" s="36">
        <f t="shared" si="49"/>
        <v>0</v>
      </c>
    </row>
    <row r="382" spans="1:80" ht="15.75" thickBot="1" x14ac:dyDescent="0.3">
      <c r="A382" s="49" t="s">
        <v>13</v>
      </c>
      <c r="B382" s="10">
        <f>SUM(B376:B381)</f>
        <v>3</v>
      </c>
      <c r="C382" s="11"/>
      <c r="D382" s="12"/>
      <c r="E382" s="12"/>
      <c r="F382" s="12"/>
      <c r="G382" s="12"/>
      <c r="H382" s="12"/>
      <c r="I382" s="12"/>
      <c r="J382" s="12"/>
      <c r="K382" s="37"/>
      <c r="L382" s="37"/>
      <c r="M382" s="37"/>
    </row>
    <row r="383" spans="1:80" x14ac:dyDescent="0.25">
      <c r="A383" s="50"/>
      <c r="B383" s="16"/>
      <c r="C383" s="11"/>
      <c r="D383" s="12"/>
      <c r="E383" s="12"/>
      <c r="F383" s="12"/>
      <c r="G383" s="12"/>
      <c r="H383" s="12"/>
      <c r="I383" s="12"/>
      <c r="J383" s="12"/>
      <c r="K383" s="37"/>
      <c r="L383" s="37"/>
      <c r="M383" s="37"/>
    </row>
    <row r="384" spans="1:80" s="8" customFormat="1" ht="15.95" customHeight="1" thickBot="1" x14ac:dyDescent="0.3">
      <c r="A384" s="112" t="s">
        <v>62</v>
      </c>
      <c r="B384" s="112"/>
      <c r="C384" s="112"/>
      <c r="D384" s="112"/>
      <c r="E384" s="112"/>
      <c r="F384" s="112"/>
      <c r="G384" s="112"/>
      <c r="H384" s="112"/>
      <c r="I384" s="112"/>
      <c r="J384" s="112"/>
      <c r="K384" s="34"/>
      <c r="L384" s="34"/>
      <c r="M384" s="34"/>
      <c r="N384" s="18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  <c r="AZ384" s="6"/>
      <c r="BA384" s="6"/>
      <c r="BB384" s="6"/>
      <c r="BC384" s="6"/>
      <c r="BD384" s="6"/>
      <c r="BE384" s="6"/>
      <c r="BF384" s="6"/>
      <c r="BG384" s="6"/>
      <c r="BH384" s="6"/>
      <c r="BI384" s="6"/>
      <c r="BJ384" s="6"/>
      <c r="BK384" s="6"/>
      <c r="BL384" s="6"/>
      <c r="BM384" s="6"/>
      <c r="BN384" s="6"/>
      <c r="BO384" s="6"/>
      <c r="BP384" s="6"/>
      <c r="BQ384" s="6"/>
      <c r="BR384" s="6"/>
      <c r="BS384" s="6"/>
      <c r="BT384" s="6"/>
      <c r="BU384" s="6"/>
      <c r="BV384" s="6"/>
      <c r="BW384" s="6"/>
      <c r="BX384" s="6"/>
      <c r="BY384" s="6"/>
      <c r="BZ384" s="6"/>
      <c r="CA384" s="6"/>
      <c r="CB384" s="6"/>
    </row>
    <row r="385" spans="1:80" x14ac:dyDescent="0.25">
      <c r="A385" s="48" t="s">
        <v>12</v>
      </c>
      <c r="B385" s="62" t="s">
        <v>8</v>
      </c>
      <c r="C385" s="134" t="s">
        <v>35</v>
      </c>
      <c r="D385" s="115"/>
      <c r="E385" s="118"/>
      <c r="F385" s="126" t="s">
        <v>40</v>
      </c>
      <c r="G385" s="115"/>
      <c r="H385" s="115"/>
      <c r="I385" s="115"/>
      <c r="J385" s="118"/>
      <c r="K385" s="38"/>
      <c r="L385" s="39"/>
      <c r="M385" s="39"/>
    </row>
    <row r="386" spans="1:80" ht="15" customHeight="1" x14ac:dyDescent="0.25">
      <c r="A386" s="9"/>
      <c r="B386" s="5">
        <f>SUM(K376:K381)+SUM(N386:AX386)</f>
        <v>6</v>
      </c>
      <c r="C386" s="123" t="s">
        <v>36</v>
      </c>
      <c r="D386" s="124"/>
      <c r="E386" s="125"/>
      <c r="F386" s="127" t="s">
        <v>41</v>
      </c>
      <c r="G386" s="128"/>
      <c r="H386" s="128"/>
      <c r="I386" s="128"/>
      <c r="J386" s="129"/>
      <c r="K386" s="40"/>
      <c r="L386" s="41"/>
      <c r="M386" s="41"/>
    </row>
    <row r="387" spans="1:80" ht="15" hidden="1" customHeight="1" x14ac:dyDescent="0.25">
      <c r="A387" s="9"/>
      <c r="B387" s="5">
        <f>SUM(L376:L381)+SUM(N387:AX387)</f>
        <v>0</v>
      </c>
      <c r="C387" s="123" t="s">
        <v>37</v>
      </c>
      <c r="D387" s="124"/>
      <c r="E387" s="125"/>
      <c r="F387" s="127" t="s">
        <v>42</v>
      </c>
      <c r="G387" s="128"/>
      <c r="H387" s="128"/>
      <c r="I387" s="128"/>
      <c r="J387" s="129"/>
      <c r="K387" s="40"/>
      <c r="L387" s="41"/>
      <c r="M387" s="41"/>
    </row>
    <row r="388" spans="1:80" ht="15.75" customHeight="1" thickBot="1" x14ac:dyDescent="0.3">
      <c r="A388" s="9"/>
      <c r="B388" s="5">
        <f>SUM(M376:M381)+SUM(N388:AX388)</f>
        <v>3</v>
      </c>
      <c r="C388" s="123" t="s">
        <v>38</v>
      </c>
      <c r="D388" s="124"/>
      <c r="E388" s="125"/>
      <c r="F388" s="127" t="s">
        <v>43</v>
      </c>
      <c r="G388" s="128"/>
      <c r="H388" s="128"/>
      <c r="I388" s="128"/>
      <c r="J388" s="129"/>
      <c r="K388" s="40"/>
      <c r="L388" s="41"/>
      <c r="M388" s="41"/>
    </row>
    <row r="389" spans="1:80" ht="15.75" thickBot="1" x14ac:dyDescent="0.3">
      <c r="A389" s="49" t="s">
        <v>13</v>
      </c>
      <c r="B389" s="10">
        <f>SUM(B386:B388)</f>
        <v>9</v>
      </c>
      <c r="C389" s="11"/>
      <c r="D389" s="12"/>
      <c r="E389" s="12"/>
      <c r="F389" s="12"/>
      <c r="G389" s="12"/>
      <c r="H389" s="12"/>
      <c r="I389" s="12"/>
      <c r="J389" s="12"/>
      <c r="K389" s="37"/>
      <c r="L389" s="37"/>
      <c r="M389" s="37"/>
    </row>
    <row r="390" spans="1:80" ht="15" customHeight="1" x14ac:dyDescent="0.25">
      <c r="A390" s="133" t="s">
        <v>45</v>
      </c>
      <c r="B390" s="133"/>
      <c r="C390" s="133"/>
      <c r="D390" s="133"/>
      <c r="E390" s="133"/>
      <c r="F390" s="133"/>
      <c r="G390" s="133"/>
      <c r="H390" s="133"/>
      <c r="I390" s="133"/>
      <c r="J390" s="133"/>
      <c r="K390" s="37"/>
      <c r="L390" s="37"/>
      <c r="M390" s="37"/>
    </row>
    <row r="391" spans="1:80" x14ac:dyDescent="0.25">
      <c r="A391" s="133"/>
      <c r="B391" s="133"/>
      <c r="C391" s="133"/>
      <c r="D391" s="133"/>
      <c r="E391" s="133"/>
      <c r="F391" s="133"/>
      <c r="G391" s="133"/>
      <c r="H391" s="133"/>
      <c r="I391" s="133"/>
      <c r="J391" s="133"/>
      <c r="K391" s="37"/>
      <c r="L391" s="37"/>
      <c r="M391" s="37"/>
    </row>
    <row r="393" spans="1:80" x14ac:dyDescent="0.25">
      <c r="A393" s="102" t="s">
        <v>126</v>
      </c>
      <c r="B393" s="103"/>
      <c r="C393" s="103"/>
      <c r="D393" s="103"/>
      <c r="E393" s="103"/>
      <c r="F393" s="103"/>
      <c r="G393" s="103"/>
      <c r="H393" s="103"/>
      <c r="I393" s="103"/>
      <c r="J393" s="104"/>
    </row>
    <row r="394" spans="1:80" x14ac:dyDescent="0.25">
      <c r="A394" s="105"/>
      <c r="B394" s="106"/>
      <c r="C394" s="106"/>
      <c r="D394" s="106"/>
      <c r="E394" s="106"/>
      <c r="F394" s="106"/>
      <c r="G394" s="106"/>
      <c r="H394" s="106"/>
      <c r="I394" s="106"/>
      <c r="J394" s="107"/>
    </row>
    <row r="395" spans="1:80" x14ac:dyDescent="0.25">
      <c r="A395" s="108"/>
      <c r="B395" s="109"/>
      <c r="C395" s="109"/>
      <c r="D395" s="109"/>
      <c r="E395" s="109"/>
      <c r="F395" s="109"/>
      <c r="G395" s="109"/>
      <c r="H395" s="109"/>
      <c r="I395" s="109"/>
      <c r="J395" s="110"/>
    </row>
    <row r="396" spans="1:80" s="8" customFormat="1" ht="15.95" customHeight="1" thickBot="1" x14ac:dyDescent="0.3">
      <c r="A396" s="112" t="s">
        <v>172</v>
      </c>
      <c r="B396" s="112"/>
      <c r="C396" s="112"/>
      <c r="D396" s="112"/>
      <c r="E396" s="112"/>
      <c r="F396" s="112"/>
      <c r="G396" s="112"/>
      <c r="H396" s="112"/>
      <c r="I396" s="112"/>
      <c r="J396" s="112"/>
      <c r="K396" s="34"/>
      <c r="L396" s="34"/>
      <c r="M396" s="34"/>
      <c r="N396" s="18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  <c r="AY396" s="6"/>
      <c r="AZ396" s="6"/>
      <c r="BA396" s="6"/>
      <c r="BB396" s="6"/>
      <c r="BC396" s="6"/>
      <c r="BD396" s="6"/>
      <c r="BE396" s="6"/>
      <c r="BF396" s="6"/>
      <c r="BG396" s="6"/>
      <c r="BH396" s="6"/>
      <c r="BI396" s="6"/>
      <c r="BJ396" s="6"/>
      <c r="BK396" s="6"/>
      <c r="BL396" s="6"/>
      <c r="BM396" s="6"/>
      <c r="BN396" s="6"/>
      <c r="BO396" s="6"/>
      <c r="BP396" s="6"/>
      <c r="BQ396" s="6"/>
      <c r="BR396" s="6"/>
      <c r="BS396" s="6"/>
      <c r="BT396" s="6"/>
      <c r="BU396" s="6"/>
      <c r="BV396" s="6"/>
      <c r="BW396" s="6"/>
      <c r="BX396" s="6"/>
      <c r="BY396" s="6"/>
      <c r="BZ396" s="6"/>
      <c r="CA396" s="6"/>
      <c r="CB396" s="6"/>
    </row>
    <row r="397" spans="1:80" ht="18.75" x14ac:dyDescent="0.25">
      <c r="A397" s="48" t="s">
        <v>12</v>
      </c>
      <c r="B397" s="62" t="s">
        <v>8</v>
      </c>
      <c r="C397" s="15" t="s">
        <v>0</v>
      </c>
      <c r="D397" s="24" t="s">
        <v>1</v>
      </c>
      <c r="E397" s="24" t="s">
        <v>2</v>
      </c>
      <c r="F397" s="24" t="s">
        <v>3</v>
      </c>
      <c r="G397" s="24" t="s">
        <v>4</v>
      </c>
      <c r="H397" s="24" t="s">
        <v>5</v>
      </c>
      <c r="I397" s="24" t="s">
        <v>30</v>
      </c>
      <c r="J397" s="24" t="s">
        <v>39</v>
      </c>
      <c r="K397" s="35">
        <v>100</v>
      </c>
      <c r="L397" s="35" t="s">
        <v>46</v>
      </c>
      <c r="M397" s="35" t="s">
        <v>2</v>
      </c>
    </row>
    <row r="398" spans="1:80" ht="15.75" thickBot="1" x14ac:dyDescent="0.3">
      <c r="A398" s="51" t="s">
        <v>127</v>
      </c>
      <c r="B398" s="5">
        <f>SUM(N398:CF398)</f>
        <v>3</v>
      </c>
      <c r="C398" s="60" t="s">
        <v>15</v>
      </c>
      <c r="D398" s="60" t="s">
        <v>15</v>
      </c>
      <c r="E398" s="61" t="s">
        <v>22</v>
      </c>
      <c r="F398" s="60"/>
      <c r="G398" s="60"/>
      <c r="H398" s="61"/>
      <c r="I398" s="61"/>
      <c r="J398" s="61"/>
      <c r="K398" s="36">
        <f t="shared" ref="K398:K403" si="51">(B398*COUNTA(C398,D398,F398,H398))</f>
        <v>6</v>
      </c>
      <c r="L398" s="36">
        <f t="shared" ref="L398:L403" si="52">(B398*COUNTA(I398,J398))</f>
        <v>0</v>
      </c>
      <c r="M398" s="36">
        <f t="shared" ref="M398:M403" si="53">(B398*COUNTA(E398,G398))</f>
        <v>3</v>
      </c>
      <c r="BA398" s="28">
        <v>1</v>
      </c>
      <c r="BC398" s="28">
        <v>1</v>
      </c>
      <c r="BE398" s="28">
        <v>1</v>
      </c>
    </row>
    <row r="399" spans="1:80" ht="15.75" hidden="1" thickBot="1" x14ac:dyDescent="0.3">
      <c r="A399" s="88"/>
      <c r="B399" s="5">
        <f t="shared" ref="B399:B403" si="54">SUM(N399:AX399)</f>
        <v>0</v>
      </c>
      <c r="C399" s="60"/>
      <c r="D399" s="61"/>
      <c r="E399" s="61"/>
      <c r="F399" s="61"/>
      <c r="G399" s="61"/>
      <c r="H399" s="61"/>
      <c r="I399" s="61"/>
      <c r="J399" s="61"/>
      <c r="K399" s="36">
        <f t="shared" si="51"/>
        <v>0</v>
      </c>
      <c r="L399" s="36">
        <f t="shared" si="52"/>
        <v>0</v>
      </c>
      <c r="M399" s="36">
        <f t="shared" si="53"/>
        <v>0</v>
      </c>
    </row>
    <row r="400" spans="1:80" ht="15.75" hidden="1" thickBot="1" x14ac:dyDescent="0.3">
      <c r="A400" s="88"/>
      <c r="B400" s="5">
        <f t="shared" si="54"/>
        <v>0</v>
      </c>
      <c r="C400" s="60"/>
      <c r="D400" s="61"/>
      <c r="E400" s="61"/>
      <c r="F400" s="61"/>
      <c r="G400" s="61"/>
      <c r="H400" s="61"/>
      <c r="I400" s="61"/>
      <c r="J400" s="61"/>
      <c r="K400" s="36">
        <f t="shared" si="51"/>
        <v>0</v>
      </c>
      <c r="L400" s="36">
        <f t="shared" si="52"/>
        <v>0</v>
      </c>
      <c r="M400" s="36">
        <f t="shared" si="53"/>
        <v>0</v>
      </c>
    </row>
    <row r="401" spans="1:80" ht="15.75" hidden="1" thickBot="1" x14ac:dyDescent="0.3">
      <c r="A401" s="9"/>
      <c r="B401" s="5">
        <f t="shared" si="54"/>
        <v>0</v>
      </c>
      <c r="C401" s="60"/>
      <c r="D401" s="61"/>
      <c r="E401" s="61"/>
      <c r="F401" s="61"/>
      <c r="G401" s="61"/>
      <c r="H401" s="61"/>
      <c r="I401" s="61"/>
      <c r="J401" s="61"/>
      <c r="K401" s="36">
        <f t="shared" si="51"/>
        <v>0</v>
      </c>
      <c r="L401" s="36">
        <f t="shared" si="52"/>
        <v>0</v>
      </c>
      <c r="M401" s="36">
        <f t="shared" si="53"/>
        <v>0</v>
      </c>
    </row>
    <row r="402" spans="1:80" ht="15.75" hidden="1" thickBot="1" x14ac:dyDescent="0.3">
      <c r="A402" s="9"/>
      <c r="B402" s="5">
        <f t="shared" si="54"/>
        <v>0</v>
      </c>
      <c r="C402" s="60"/>
      <c r="D402" s="61"/>
      <c r="E402" s="61"/>
      <c r="F402" s="61"/>
      <c r="G402" s="61"/>
      <c r="H402" s="61"/>
      <c r="I402" s="61"/>
      <c r="J402" s="61"/>
      <c r="K402" s="36">
        <f t="shared" si="51"/>
        <v>0</v>
      </c>
      <c r="L402" s="36">
        <f t="shared" si="52"/>
        <v>0</v>
      </c>
      <c r="M402" s="36">
        <f t="shared" si="53"/>
        <v>0</v>
      </c>
    </row>
    <row r="403" spans="1:80" ht="15.75" hidden="1" thickBot="1" x14ac:dyDescent="0.3">
      <c r="A403" s="9"/>
      <c r="B403" s="5">
        <f t="shared" si="54"/>
        <v>0</v>
      </c>
      <c r="C403" s="60"/>
      <c r="D403" s="61"/>
      <c r="E403" s="61"/>
      <c r="F403" s="61"/>
      <c r="G403" s="61"/>
      <c r="H403" s="61"/>
      <c r="I403" s="61"/>
      <c r="J403" s="61"/>
      <c r="K403" s="36">
        <f t="shared" si="51"/>
        <v>0</v>
      </c>
      <c r="L403" s="36">
        <f t="shared" si="52"/>
        <v>0</v>
      </c>
      <c r="M403" s="36">
        <f t="shared" si="53"/>
        <v>0</v>
      </c>
    </row>
    <row r="404" spans="1:80" ht="15.75" thickBot="1" x14ac:dyDescent="0.3">
      <c r="A404" s="49" t="s">
        <v>13</v>
      </c>
      <c r="B404" s="10">
        <f>SUM(B398:B403)</f>
        <v>3</v>
      </c>
      <c r="C404" s="11"/>
      <c r="D404" s="12"/>
      <c r="E404" s="12"/>
      <c r="F404" s="12"/>
      <c r="G404" s="12"/>
      <c r="H404" s="12"/>
      <c r="I404" s="12"/>
      <c r="J404" s="12"/>
      <c r="K404" s="37"/>
      <c r="L404" s="37"/>
      <c r="M404" s="37"/>
    </row>
    <row r="405" spans="1:80" x14ac:dyDescent="0.25">
      <c r="A405" s="50"/>
      <c r="B405" s="16"/>
      <c r="C405" s="11"/>
      <c r="D405" s="12"/>
      <c r="E405" s="12"/>
      <c r="F405" s="12"/>
      <c r="G405" s="12"/>
      <c r="H405" s="12"/>
      <c r="I405" s="12"/>
      <c r="J405" s="12"/>
      <c r="K405" s="37"/>
      <c r="L405" s="37"/>
      <c r="M405" s="37"/>
    </row>
    <row r="406" spans="1:80" s="8" customFormat="1" ht="15.95" customHeight="1" thickBot="1" x14ac:dyDescent="0.3">
      <c r="A406" s="112" t="s">
        <v>62</v>
      </c>
      <c r="B406" s="112"/>
      <c r="C406" s="112"/>
      <c r="D406" s="112"/>
      <c r="E406" s="112"/>
      <c r="F406" s="112"/>
      <c r="G406" s="112"/>
      <c r="H406" s="112"/>
      <c r="I406" s="112"/>
      <c r="J406" s="112"/>
      <c r="K406" s="34"/>
      <c r="L406" s="34"/>
      <c r="M406" s="34"/>
      <c r="N406" s="18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  <c r="AY406" s="6"/>
      <c r="AZ406" s="6"/>
      <c r="BA406" s="6"/>
      <c r="BB406" s="6"/>
      <c r="BC406" s="6"/>
      <c r="BD406" s="6"/>
      <c r="BE406" s="6"/>
      <c r="BF406" s="6"/>
      <c r="BG406" s="6"/>
      <c r="BH406" s="6"/>
      <c r="BI406" s="6"/>
      <c r="BJ406" s="6"/>
      <c r="BK406" s="6"/>
      <c r="BL406" s="6"/>
      <c r="BM406" s="6"/>
      <c r="BN406" s="6"/>
      <c r="BO406" s="6"/>
      <c r="BP406" s="6"/>
      <c r="BQ406" s="6"/>
      <c r="BR406" s="6"/>
      <c r="BS406" s="6"/>
      <c r="BT406" s="6"/>
      <c r="BU406" s="6"/>
      <c r="BV406" s="6"/>
      <c r="BW406" s="6"/>
      <c r="BX406" s="6"/>
      <c r="BY406" s="6"/>
      <c r="BZ406" s="6"/>
      <c r="CA406" s="6"/>
      <c r="CB406" s="6"/>
    </row>
    <row r="407" spans="1:80" x14ac:dyDescent="0.25">
      <c r="A407" s="48" t="s">
        <v>12</v>
      </c>
      <c r="B407" s="62" t="s">
        <v>8</v>
      </c>
      <c r="C407" s="134" t="s">
        <v>35</v>
      </c>
      <c r="D407" s="115"/>
      <c r="E407" s="118"/>
      <c r="F407" s="126" t="s">
        <v>40</v>
      </c>
      <c r="G407" s="115"/>
      <c r="H407" s="115"/>
      <c r="I407" s="115"/>
      <c r="J407" s="118"/>
      <c r="K407" s="38"/>
      <c r="L407" s="39"/>
      <c r="M407" s="39"/>
    </row>
    <row r="408" spans="1:80" ht="15" customHeight="1" x14ac:dyDescent="0.25">
      <c r="A408" s="9"/>
      <c r="B408" s="5">
        <f>SUM(K398:K403)+SUM(N408:AX408)</f>
        <v>6</v>
      </c>
      <c r="C408" s="123" t="s">
        <v>36</v>
      </c>
      <c r="D408" s="124"/>
      <c r="E408" s="125"/>
      <c r="F408" s="127" t="s">
        <v>41</v>
      </c>
      <c r="G408" s="128"/>
      <c r="H408" s="128"/>
      <c r="I408" s="128"/>
      <c r="J408" s="129"/>
      <c r="K408" s="40"/>
      <c r="L408" s="41"/>
      <c r="M408" s="41"/>
    </row>
    <row r="409" spans="1:80" ht="15" hidden="1" customHeight="1" x14ac:dyDescent="0.25">
      <c r="A409" s="9"/>
      <c r="B409" s="5">
        <f>SUM(L398:L403)+SUM(N409:AX409)</f>
        <v>0</v>
      </c>
      <c r="C409" s="123" t="s">
        <v>37</v>
      </c>
      <c r="D409" s="124"/>
      <c r="E409" s="125"/>
      <c r="F409" s="127" t="s">
        <v>42</v>
      </c>
      <c r="G409" s="128"/>
      <c r="H409" s="128"/>
      <c r="I409" s="128"/>
      <c r="J409" s="129"/>
      <c r="K409" s="40"/>
      <c r="L409" s="41"/>
      <c r="M409" s="41"/>
    </row>
    <row r="410" spans="1:80" ht="15.75" customHeight="1" thickBot="1" x14ac:dyDescent="0.3">
      <c r="A410" s="9"/>
      <c r="B410" s="5">
        <f>SUM(M398:M403)+SUM(N410:AX410)</f>
        <v>3</v>
      </c>
      <c r="C410" s="123" t="s">
        <v>38</v>
      </c>
      <c r="D410" s="124"/>
      <c r="E410" s="125"/>
      <c r="F410" s="127" t="s">
        <v>43</v>
      </c>
      <c r="G410" s="128"/>
      <c r="H410" s="128"/>
      <c r="I410" s="128"/>
      <c r="J410" s="129"/>
      <c r="K410" s="40"/>
      <c r="L410" s="41"/>
      <c r="M410" s="41"/>
    </row>
    <row r="411" spans="1:80" ht="15.75" thickBot="1" x14ac:dyDescent="0.3">
      <c r="A411" s="49" t="s">
        <v>13</v>
      </c>
      <c r="B411" s="10">
        <f>SUM(B408:B410)</f>
        <v>9</v>
      </c>
      <c r="C411" s="11"/>
      <c r="D411" s="12"/>
      <c r="E411" s="12"/>
      <c r="F411" s="12"/>
      <c r="G411" s="12"/>
      <c r="H411" s="12"/>
      <c r="I411" s="12"/>
      <c r="J411" s="12"/>
      <c r="K411" s="37"/>
      <c r="L411" s="37"/>
      <c r="M411" s="37"/>
    </row>
    <row r="412" spans="1:80" ht="15" customHeight="1" x14ac:dyDescent="0.25">
      <c r="A412" s="133" t="s">
        <v>45</v>
      </c>
      <c r="B412" s="133"/>
      <c r="C412" s="133"/>
      <c r="D412" s="133"/>
      <c r="E412" s="133"/>
      <c r="F412" s="133"/>
      <c r="G412" s="133"/>
      <c r="H412" s="133"/>
      <c r="I412" s="133"/>
      <c r="J412" s="133"/>
      <c r="K412" s="37"/>
      <c r="L412" s="37"/>
      <c r="M412" s="37"/>
    </row>
    <row r="413" spans="1:80" x14ac:dyDescent="0.25">
      <c r="A413" s="133"/>
      <c r="B413" s="133"/>
      <c r="C413" s="133"/>
      <c r="D413" s="133"/>
      <c r="E413" s="133"/>
      <c r="F413" s="133"/>
      <c r="G413" s="133"/>
      <c r="H413" s="133"/>
      <c r="I413" s="133"/>
      <c r="J413" s="133"/>
      <c r="K413" s="37"/>
      <c r="L413" s="37"/>
      <c r="M413" s="37"/>
    </row>
    <row r="415" spans="1:80" x14ac:dyDescent="0.25">
      <c r="A415" s="102" t="s">
        <v>128</v>
      </c>
      <c r="B415" s="103"/>
      <c r="C415" s="103"/>
      <c r="D415" s="103"/>
      <c r="E415" s="103"/>
      <c r="F415" s="103"/>
      <c r="G415" s="103"/>
      <c r="H415" s="103"/>
      <c r="I415" s="103"/>
      <c r="J415" s="104"/>
    </row>
    <row r="416" spans="1:80" x14ac:dyDescent="0.25">
      <c r="A416" s="105"/>
      <c r="B416" s="106"/>
      <c r="C416" s="106"/>
      <c r="D416" s="106"/>
      <c r="E416" s="106"/>
      <c r="F416" s="106"/>
      <c r="G416" s="106"/>
      <c r="H416" s="106"/>
      <c r="I416" s="106"/>
      <c r="J416" s="107"/>
    </row>
    <row r="417" spans="1:80" x14ac:dyDescent="0.25">
      <c r="A417" s="108"/>
      <c r="B417" s="109"/>
      <c r="C417" s="109"/>
      <c r="D417" s="109"/>
      <c r="E417" s="109"/>
      <c r="F417" s="109"/>
      <c r="G417" s="109"/>
      <c r="H417" s="109"/>
      <c r="I417" s="109"/>
      <c r="J417" s="110"/>
    </row>
    <row r="418" spans="1:80" s="8" customFormat="1" ht="15.95" customHeight="1" thickBot="1" x14ac:dyDescent="0.3">
      <c r="A418" s="112" t="s">
        <v>172</v>
      </c>
      <c r="B418" s="112"/>
      <c r="C418" s="112"/>
      <c r="D418" s="112"/>
      <c r="E418" s="112"/>
      <c r="F418" s="112"/>
      <c r="G418" s="112"/>
      <c r="H418" s="112"/>
      <c r="I418" s="112"/>
      <c r="J418" s="112"/>
      <c r="K418" s="34"/>
      <c r="L418" s="34"/>
      <c r="M418" s="34"/>
      <c r="N418" s="18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  <c r="AY418" s="6"/>
      <c r="AZ418" s="6"/>
      <c r="BA418" s="6"/>
      <c r="BB418" s="6"/>
      <c r="BC418" s="6"/>
      <c r="BD418" s="6"/>
      <c r="BE418" s="6"/>
      <c r="BF418" s="6"/>
      <c r="BG418" s="6"/>
      <c r="BH418" s="6"/>
      <c r="BI418" s="6"/>
      <c r="BJ418" s="6"/>
      <c r="BK418" s="6"/>
      <c r="BL418" s="6"/>
      <c r="BM418" s="6"/>
      <c r="BN418" s="6"/>
      <c r="BO418" s="6"/>
      <c r="BP418" s="6"/>
      <c r="BQ418" s="6"/>
      <c r="BR418" s="6"/>
      <c r="BS418" s="6"/>
      <c r="BT418" s="6"/>
      <c r="BU418" s="6"/>
      <c r="BV418" s="6"/>
      <c r="BW418" s="6"/>
      <c r="BX418" s="6"/>
      <c r="BY418" s="6"/>
      <c r="BZ418" s="6"/>
      <c r="CA418" s="6"/>
      <c r="CB418" s="6"/>
    </row>
    <row r="419" spans="1:80" ht="18.75" x14ac:dyDescent="0.25">
      <c r="A419" s="48" t="s">
        <v>12</v>
      </c>
      <c r="B419" s="62" t="s">
        <v>8</v>
      </c>
      <c r="C419" s="15" t="s">
        <v>0</v>
      </c>
      <c r="D419" s="24" t="s">
        <v>1</v>
      </c>
      <c r="E419" s="24" t="s">
        <v>2</v>
      </c>
      <c r="F419" s="24" t="s">
        <v>3</v>
      </c>
      <c r="G419" s="24" t="s">
        <v>4</v>
      </c>
      <c r="H419" s="24" t="s">
        <v>5</v>
      </c>
      <c r="I419" s="24" t="s">
        <v>30</v>
      </c>
      <c r="J419" s="24" t="s">
        <v>39</v>
      </c>
      <c r="K419" s="35">
        <v>100</v>
      </c>
      <c r="L419" s="35" t="s">
        <v>46</v>
      </c>
      <c r="M419" s="35" t="s">
        <v>2</v>
      </c>
    </row>
    <row r="420" spans="1:80" ht="15.75" thickBot="1" x14ac:dyDescent="0.3">
      <c r="A420" s="51" t="s">
        <v>161</v>
      </c>
      <c r="B420" s="5">
        <f>SUM(N420:CX420)</f>
        <v>2</v>
      </c>
      <c r="C420" s="60" t="s">
        <v>15</v>
      </c>
      <c r="D420" s="60" t="s">
        <v>15</v>
      </c>
      <c r="E420" s="61" t="s">
        <v>22</v>
      </c>
      <c r="F420" s="60"/>
      <c r="G420" s="60"/>
      <c r="H420" s="61"/>
      <c r="I420" s="61"/>
      <c r="J420" s="61"/>
      <c r="K420" s="36">
        <f t="shared" ref="K420:K425" si="55">(B420*COUNTA(C420,D420,F420,H420))</f>
        <v>4</v>
      </c>
      <c r="L420" s="36">
        <f t="shared" ref="L420:L425" si="56">(B420*COUNTA(I420,J420))</f>
        <v>0</v>
      </c>
      <c r="M420" s="36">
        <f t="shared" ref="M420:M425" si="57">(B420*COUNTA(E420,G420))</f>
        <v>2</v>
      </c>
      <c r="BF420" s="28">
        <v>1</v>
      </c>
      <c r="BL420" s="28">
        <v>1</v>
      </c>
    </row>
    <row r="421" spans="1:80" ht="15.75" hidden="1" thickBot="1" x14ac:dyDescent="0.3">
      <c r="A421" s="88"/>
      <c r="B421" s="5">
        <f t="shared" ref="B421:B425" si="58">SUM(N421:AX421)</f>
        <v>0</v>
      </c>
      <c r="C421" s="60"/>
      <c r="D421" s="61"/>
      <c r="E421" s="61"/>
      <c r="F421" s="61"/>
      <c r="G421" s="61"/>
      <c r="H421" s="61"/>
      <c r="I421" s="61"/>
      <c r="J421" s="61"/>
      <c r="K421" s="36">
        <f t="shared" si="55"/>
        <v>0</v>
      </c>
      <c r="L421" s="36">
        <f t="shared" si="56"/>
        <v>0</v>
      </c>
      <c r="M421" s="36">
        <f t="shared" si="57"/>
        <v>0</v>
      </c>
    </row>
    <row r="422" spans="1:80" ht="15.75" hidden="1" thickBot="1" x14ac:dyDescent="0.3">
      <c r="A422" s="88"/>
      <c r="B422" s="5">
        <f t="shared" si="58"/>
        <v>0</v>
      </c>
      <c r="C422" s="60"/>
      <c r="D422" s="61"/>
      <c r="E422" s="61"/>
      <c r="F422" s="61"/>
      <c r="G422" s="61"/>
      <c r="H422" s="61"/>
      <c r="I422" s="61"/>
      <c r="J422" s="61"/>
      <c r="K422" s="36">
        <f t="shared" si="55"/>
        <v>0</v>
      </c>
      <c r="L422" s="36">
        <f t="shared" si="56"/>
        <v>0</v>
      </c>
      <c r="M422" s="36">
        <f t="shared" si="57"/>
        <v>0</v>
      </c>
    </row>
    <row r="423" spans="1:80" ht="15.75" hidden="1" thickBot="1" x14ac:dyDescent="0.3">
      <c r="A423" s="9"/>
      <c r="B423" s="5">
        <f t="shared" si="58"/>
        <v>0</v>
      </c>
      <c r="C423" s="60"/>
      <c r="D423" s="61"/>
      <c r="E423" s="61"/>
      <c r="F423" s="61"/>
      <c r="G423" s="61"/>
      <c r="H423" s="61"/>
      <c r="I423" s="61"/>
      <c r="J423" s="61"/>
      <c r="K423" s="36">
        <f t="shared" si="55"/>
        <v>0</v>
      </c>
      <c r="L423" s="36">
        <f t="shared" si="56"/>
        <v>0</v>
      </c>
      <c r="M423" s="36">
        <f t="shared" si="57"/>
        <v>0</v>
      </c>
    </row>
    <row r="424" spans="1:80" ht="15.75" hidden="1" thickBot="1" x14ac:dyDescent="0.3">
      <c r="A424" s="9"/>
      <c r="B424" s="5">
        <f t="shared" si="58"/>
        <v>0</v>
      </c>
      <c r="C424" s="60"/>
      <c r="D424" s="61"/>
      <c r="E424" s="61"/>
      <c r="F424" s="61"/>
      <c r="G424" s="61"/>
      <c r="H424" s="61"/>
      <c r="I424" s="61"/>
      <c r="J424" s="61"/>
      <c r="K424" s="36">
        <f t="shared" si="55"/>
        <v>0</v>
      </c>
      <c r="L424" s="36">
        <f t="shared" si="56"/>
        <v>0</v>
      </c>
      <c r="M424" s="36">
        <f t="shared" si="57"/>
        <v>0</v>
      </c>
    </row>
    <row r="425" spans="1:80" ht="15.75" hidden="1" thickBot="1" x14ac:dyDescent="0.3">
      <c r="A425" s="9"/>
      <c r="B425" s="5">
        <f t="shared" si="58"/>
        <v>0</v>
      </c>
      <c r="C425" s="60"/>
      <c r="D425" s="61"/>
      <c r="E425" s="61"/>
      <c r="F425" s="61"/>
      <c r="G425" s="61"/>
      <c r="H425" s="61"/>
      <c r="I425" s="61"/>
      <c r="J425" s="61"/>
      <c r="K425" s="36">
        <f t="shared" si="55"/>
        <v>0</v>
      </c>
      <c r="L425" s="36">
        <f t="shared" si="56"/>
        <v>0</v>
      </c>
      <c r="M425" s="36">
        <f t="shared" si="57"/>
        <v>0</v>
      </c>
    </row>
    <row r="426" spans="1:80" ht="15.75" thickBot="1" x14ac:dyDescent="0.3">
      <c r="A426" s="49" t="s">
        <v>13</v>
      </c>
      <c r="B426" s="10">
        <f>SUM(B420:B425)</f>
        <v>2</v>
      </c>
      <c r="C426" s="11"/>
      <c r="D426" s="12"/>
      <c r="E426" s="12"/>
      <c r="F426" s="12"/>
      <c r="G426" s="12"/>
      <c r="H426" s="12"/>
      <c r="I426" s="12"/>
      <c r="J426" s="12"/>
      <c r="K426" s="37"/>
      <c r="L426" s="37"/>
      <c r="M426" s="37"/>
    </row>
    <row r="427" spans="1:80" x14ac:dyDescent="0.25">
      <c r="A427" s="50"/>
      <c r="B427" s="16"/>
      <c r="C427" s="11"/>
      <c r="D427" s="12"/>
      <c r="E427" s="12"/>
      <c r="F427" s="12"/>
      <c r="G427" s="12"/>
      <c r="H427" s="12"/>
      <c r="I427" s="12"/>
      <c r="J427" s="12"/>
      <c r="K427" s="37"/>
      <c r="L427" s="37"/>
      <c r="M427" s="37"/>
    </row>
    <row r="428" spans="1:80" s="8" customFormat="1" ht="15.95" customHeight="1" thickBot="1" x14ac:dyDescent="0.3">
      <c r="A428" s="112" t="s">
        <v>62</v>
      </c>
      <c r="B428" s="112"/>
      <c r="C428" s="112"/>
      <c r="D428" s="112"/>
      <c r="E428" s="112"/>
      <c r="F428" s="112"/>
      <c r="G428" s="112"/>
      <c r="H428" s="112"/>
      <c r="I428" s="112"/>
      <c r="J428" s="112"/>
      <c r="K428" s="34"/>
      <c r="L428" s="34"/>
      <c r="M428" s="34"/>
      <c r="N428" s="18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  <c r="AY428" s="6"/>
      <c r="AZ428" s="6"/>
      <c r="BA428" s="6"/>
      <c r="BB428" s="6"/>
      <c r="BC428" s="6"/>
      <c r="BD428" s="6"/>
      <c r="BE428" s="6"/>
      <c r="BF428" s="6"/>
      <c r="BG428" s="6"/>
      <c r="BH428" s="6"/>
      <c r="BI428" s="6"/>
      <c r="BJ428" s="6"/>
      <c r="BK428" s="6"/>
      <c r="BL428" s="6"/>
      <c r="BM428" s="6"/>
      <c r="BN428" s="6"/>
      <c r="BO428" s="6"/>
      <c r="BP428" s="6"/>
      <c r="BQ428" s="6"/>
      <c r="BR428" s="6"/>
      <c r="BS428" s="6"/>
      <c r="BT428" s="6"/>
      <c r="BU428" s="6"/>
      <c r="BV428" s="6"/>
      <c r="BW428" s="6"/>
      <c r="BX428" s="6"/>
      <c r="BY428" s="6"/>
      <c r="BZ428" s="6"/>
      <c r="CA428" s="6"/>
      <c r="CB428" s="6"/>
    </row>
    <row r="429" spans="1:80" x14ac:dyDescent="0.25">
      <c r="A429" s="48" t="s">
        <v>12</v>
      </c>
      <c r="B429" s="62" t="s">
        <v>8</v>
      </c>
      <c r="C429" s="134" t="s">
        <v>35</v>
      </c>
      <c r="D429" s="115"/>
      <c r="E429" s="118"/>
      <c r="F429" s="126" t="s">
        <v>40</v>
      </c>
      <c r="G429" s="115"/>
      <c r="H429" s="115"/>
      <c r="I429" s="115"/>
      <c r="J429" s="118"/>
      <c r="K429" s="38"/>
      <c r="L429" s="39"/>
      <c r="M429" s="39"/>
    </row>
    <row r="430" spans="1:80" ht="15" customHeight="1" x14ac:dyDescent="0.25">
      <c r="A430" s="9"/>
      <c r="B430" s="5">
        <f>SUM(K420:K425)+SUM(N430:AX430)</f>
        <v>4</v>
      </c>
      <c r="C430" s="123" t="s">
        <v>36</v>
      </c>
      <c r="D430" s="124"/>
      <c r="E430" s="125"/>
      <c r="F430" s="127" t="s">
        <v>41</v>
      </c>
      <c r="G430" s="128"/>
      <c r="H430" s="128"/>
      <c r="I430" s="128"/>
      <c r="J430" s="129"/>
      <c r="K430" s="40"/>
      <c r="L430" s="41"/>
      <c r="M430" s="41"/>
    </row>
    <row r="431" spans="1:80" ht="15" hidden="1" customHeight="1" x14ac:dyDescent="0.25">
      <c r="A431" s="9"/>
      <c r="B431" s="5">
        <f>SUM(L420:L425)+SUM(N431:AX431)</f>
        <v>0</v>
      </c>
      <c r="C431" s="123" t="s">
        <v>37</v>
      </c>
      <c r="D431" s="124"/>
      <c r="E431" s="125"/>
      <c r="F431" s="127" t="s">
        <v>42</v>
      </c>
      <c r="G431" s="128"/>
      <c r="H431" s="128"/>
      <c r="I431" s="128"/>
      <c r="J431" s="129"/>
      <c r="K431" s="40"/>
      <c r="L431" s="41"/>
      <c r="M431" s="41"/>
    </row>
    <row r="432" spans="1:80" ht="15.75" customHeight="1" thickBot="1" x14ac:dyDescent="0.3">
      <c r="A432" s="9"/>
      <c r="B432" s="5">
        <f>SUM(M420:M425)+SUM(N432:AX432)</f>
        <v>2</v>
      </c>
      <c r="C432" s="123" t="s">
        <v>38</v>
      </c>
      <c r="D432" s="124"/>
      <c r="E432" s="125"/>
      <c r="F432" s="127" t="s">
        <v>43</v>
      </c>
      <c r="G432" s="128"/>
      <c r="H432" s="128"/>
      <c r="I432" s="128"/>
      <c r="J432" s="129"/>
      <c r="K432" s="40"/>
      <c r="L432" s="41"/>
      <c r="M432" s="41"/>
    </row>
    <row r="433" spans="1:13" ht="15.75" thickBot="1" x14ac:dyDescent="0.3">
      <c r="A433" s="49" t="s">
        <v>13</v>
      </c>
      <c r="B433" s="10">
        <f>SUM(B430:B432)</f>
        <v>6</v>
      </c>
      <c r="C433" s="11"/>
      <c r="D433" s="12"/>
      <c r="E433" s="12"/>
      <c r="F433" s="12"/>
      <c r="G433" s="12"/>
      <c r="H433" s="12"/>
      <c r="I433" s="12"/>
      <c r="J433" s="12"/>
      <c r="K433" s="37"/>
      <c r="L433" s="37"/>
      <c r="M433" s="37"/>
    </row>
    <row r="434" spans="1:13" ht="15" customHeight="1" x14ac:dyDescent="0.25">
      <c r="A434" s="133" t="s">
        <v>45</v>
      </c>
      <c r="B434" s="133"/>
      <c r="C434" s="133"/>
      <c r="D434" s="133"/>
      <c r="E434" s="133"/>
      <c r="F434" s="133"/>
      <c r="G434" s="133"/>
      <c r="H434" s="133"/>
      <c r="I434" s="133"/>
      <c r="J434" s="133"/>
      <c r="K434" s="37"/>
      <c r="L434" s="37"/>
      <c r="M434" s="37"/>
    </row>
    <row r="435" spans="1:13" x14ac:dyDescent="0.25">
      <c r="A435" s="133"/>
      <c r="B435" s="133"/>
      <c r="C435" s="133"/>
      <c r="D435" s="133"/>
      <c r="E435" s="133"/>
      <c r="F435" s="133"/>
      <c r="G435" s="133"/>
      <c r="H435" s="133"/>
      <c r="I435" s="133"/>
      <c r="J435" s="133"/>
      <c r="K435" s="37"/>
      <c r="L435" s="37"/>
      <c r="M435" s="37"/>
    </row>
  </sheetData>
  <mergeCells count="219">
    <mergeCell ref="C431:E431"/>
    <mergeCell ref="F431:J431"/>
    <mergeCell ref="C432:E432"/>
    <mergeCell ref="F432:J432"/>
    <mergeCell ref="A434:J435"/>
    <mergeCell ref="A224:J226"/>
    <mergeCell ref="A227:J227"/>
    <mergeCell ref="A239:J239"/>
    <mergeCell ref="C410:E410"/>
    <mergeCell ref="F410:J410"/>
    <mergeCell ref="A412:J413"/>
    <mergeCell ref="A415:J417"/>
    <mergeCell ref="A418:J418"/>
    <mergeCell ref="A428:J428"/>
    <mergeCell ref="C429:E429"/>
    <mergeCell ref="F429:J429"/>
    <mergeCell ref="C430:E430"/>
    <mergeCell ref="F430:J430"/>
    <mergeCell ref="A390:J391"/>
    <mergeCell ref="A393:J395"/>
    <mergeCell ref="A396:J396"/>
    <mergeCell ref="A406:J406"/>
    <mergeCell ref="C407:E407"/>
    <mergeCell ref="F407:J407"/>
    <mergeCell ref="C408:E408"/>
    <mergeCell ref="F408:J408"/>
    <mergeCell ref="C409:E409"/>
    <mergeCell ref="F409:J409"/>
    <mergeCell ref="A384:J384"/>
    <mergeCell ref="C385:E385"/>
    <mergeCell ref="F385:J385"/>
    <mergeCell ref="C386:E386"/>
    <mergeCell ref="F386:J386"/>
    <mergeCell ref="C387:E387"/>
    <mergeCell ref="F387:J387"/>
    <mergeCell ref="C388:E388"/>
    <mergeCell ref="F388:J388"/>
    <mergeCell ref="C364:E364"/>
    <mergeCell ref="F364:J364"/>
    <mergeCell ref="C365:E365"/>
    <mergeCell ref="F365:J365"/>
    <mergeCell ref="C366:E366"/>
    <mergeCell ref="F366:J366"/>
    <mergeCell ref="A368:J369"/>
    <mergeCell ref="A371:J373"/>
    <mergeCell ref="A374:J374"/>
    <mergeCell ref="C343:E343"/>
    <mergeCell ref="F343:J343"/>
    <mergeCell ref="C344:E344"/>
    <mergeCell ref="F344:J344"/>
    <mergeCell ref="A346:J347"/>
    <mergeCell ref="A349:J351"/>
    <mergeCell ref="A352:J352"/>
    <mergeCell ref="A362:J362"/>
    <mergeCell ref="C363:E363"/>
    <mergeCell ref="F363:J363"/>
    <mergeCell ref="C322:E322"/>
    <mergeCell ref="F322:J322"/>
    <mergeCell ref="A324:J325"/>
    <mergeCell ref="A327:J329"/>
    <mergeCell ref="A330:J330"/>
    <mergeCell ref="A340:J340"/>
    <mergeCell ref="C341:E341"/>
    <mergeCell ref="F341:J341"/>
    <mergeCell ref="C342:E342"/>
    <mergeCell ref="F342:J342"/>
    <mergeCell ref="A305:J307"/>
    <mergeCell ref="A308:J308"/>
    <mergeCell ref="A318:J318"/>
    <mergeCell ref="C319:E319"/>
    <mergeCell ref="F319:J319"/>
    <mergeCell ref="C320:E320"/>
    <mergeCell ref="F320:J320"/>
    <mergeCell ref="C321:E321"/>
    <mergeCell ref="F321:J321"/>
    <mergeCell ref="C297:E297"/>
    <mergeCell ref="F297:J297"/>
    <mergeCell ref="C298:E298"/>
    <mergeCell ref="F298:J298"/>
    <mergeCell ref="C299:E299"/>
    <mergeCell ref="F299:J299"/>
    <mergeCell ref="C300:E300"/>
    <mergeCell ref="F300:J300"/>
    <mergeCell ref="A302:J303"/>
    <mergeCell ref="C276:E276"/>
    <mergeCell ref="F276:J276"/>
    <mergeCell ref="C277:E277"/>
    <mergeCell ref="F277:J277"/>
    <mergeCell ref="A279:J280"/>
    <mergeCell ref="A260:J262"/>
    <mergeCell ref="A283:J285"/>
    <mergeCell ref="A286:J286"/>
    <mergeCell ref="A296:J296"/>
    <mergeCell ref="A194:J194"/>
    <mergeCell ref="A207:J207"/>
    <mergeCell ref="A219:J219"/>
    <mergeCell ref="A204:J206"/>
    <mergeCell ref="A263:J263"/>
    <mergeCell ref="A273:J273"/>
    <mergeCell ref="C274:E274"/>
    <mergeCell ref="F274:J274"/>
    <mergeCell ref="C275:E275"/>
    <mergeCell ref="F275:J275"/>
    <mergeCell ref="A247:J247"/>
    <mergeCell ref="A244:J246"/>
    <mergeCell ref="C66:D66"/>
    <mergeCell ref="C64:D64"/>
    <mergeCell ref="B5:J5"/>
    <mergeCell ref="B6:J6"/>
    <mergeCell ref="B9:J9"/>
    <mergeCell ref="A3:J4"/>
    <mergeCell ref="A76:J76"/>
    <mergeCell ref="A85:J85"/>
    <mergeCell ref="A30:J30"/>
    <mergeCell ref="A42:J42"/>
    <mergeCell ref="A47:J47"/>
    <mergeCell ref="B7:J7"/>
    <mergeCell ref="B8:J8"/>
    <mergeCell ref="I10:J10"/>
    <mergeCell ref="I11:J11"/>
    <mergeCell ref="B11:G11"/>
    <mergeCell ref="A13:J13"/>
    <mergeCell ref="A25:J25"/>
    <mergeCell ref="E64:F64"/>
    <mergeCell ref="G64:H64"/>
    <mergeCell ref="I64:J64"/>
    <mergeCell ref="C65:D65"/>
    <mergeCell ref="E65:F65"/>
    <mergeCell ref="G65:H65"/>
    <mergeCell ref="I65:J65"/>
    <mergeCell ref="A59:J59"/>
    <mergeCell ref="C60:D60"/>
    <mergeCell ref="E60:F60"/>
    <mergeCell ref="C61:D61"/>
    <mergeCell ref="C63:D63"/>
    <mergeCell ref="G60:H60"/>
    <mergeCell ref="I60:J60"/>
    <mergeCell ref="E61:F61"/>
    <mergeCell ref="G61:H61"/>
    <mergeCell ref="I61:J61"/>
    <mergeCell ref="E62:F62"/>
    <mergeCell ref="G62:H62"/>
    <mergeCell ref="I62:J62"/>
    <mergeCell ref="E63:F63"/>
    <mergeCell ref="G63:H63"/>
    <mergeCell ref="I63:J63"/>
    <mergeCell ref="C62:D62"/>
    <mergeCell ref="E66:F66"/>
    <mergeCell ref="G66:H66"/>
    <mergeCell ref="I66:J66"/>
    <mergeCell ref="C67:D67"/>
    <mergeCell ref="E67:F67"/>
    <mergeCell ref="G67:H67"/>
    <mergeCell ref="I67:J67"/>
    <mergeCell ref="A145:J145"/>
    <mergeCell ref="C146:D146"/>
    <mergeCell ref="A107:J108"/>
    <mergeCell ref="A91:J91"/>
    <mergeCell ref="A101:J101"/>
    <mergeCell ref="C102:E102"/>
    <mergeCell ref="C103:E103"/>
    <mergeCell ref="C86:J86"/>
    <mergeCell ref="C88:J88"/>
    <mergeCell ref="C68:D68"/>
    <mergeCell ref="E68:F68"/>
    <mergeCell ref="G68:H68"/>
    <mergeCell ref="I68:J68"/>
    <mergeCell ref="A71:J71"/>
    <mergeCell ref="F104:J104"/>
    <mergeCell ref="F105:J105"/>
    <mergeCell ref="C104:E104"/>
    <mergeCell ref="C147:D147"/>
    <mergeCell ref="C148:D148"/>
    <mergeCell ref="C72:D72"/>
    <mergeCell ref="E72:F72"/>
    <mergeCell ref="G72:H72"/>
    <mergeCell ref="I72:J72"/>
    <mergeCell ref="C73:D73"/>
    <mergeCell ref="A131:J131"/>
    <mergeCell ref="A123:J123"/>
    <mergeCell ref="C87:J87"/>
    <mergeCell ref="A110:J110"/>
    <mergeCell ref="C105:E105"/>
    <mergeCell ref="F102:J102"/>
    <mergeCell ref="F103:J103"/>
    <mergeCell ref="D179:J179"/>
    <mergeCell ref="D180:J180"/>
    <mergeCell ref="D181:J181"/>
    <mergeCell ref="A151:J151"/>
    <mergeCell ref="C152:D152"/>
    <mergeCell ref="E152:F152"/>
    <mergeCell ref="G152:H152"/>
    <mergeCell ref="C153:D153"/>
    <mergeCell ref="E153:F153"/>
    <mergeCell ref="G153:H153"/>
    <mergeCell ref="A191:J193"/>
    <mergeCell ref="A169:J170"/>
    <mergeCell ref="A163:J164"/>
    <mergeCell ref="A165:J165"/>
    <mergeCell ref="E166:G166"/>
    <mergeCell ref="H166:J166"/>
    <mergeCell ref="E167:G167"/>
    <mergeCell ref="H167:J167"/>
    <mergeCell ref="A156:J156"/>
    <mergeCell ref="D157:J157"/>
    <mergeCell ref="D158:J158"/>
    <mergeCell ref="D160:J160"/>
    <mergeCell ref="D161:J161"/>
    <mergeCell ref="D159:J159"/>
    <mergeCell ref="A185:J185"/>
    <mergeCell ref="C186:D186"/>
    <mergeCell ref="C187:D187"/>
    <mergeCell ref="D174:J174"/>
    <mergeCell ref="D175:J175"/>
    <mergeCell ref="D178:J178"/>
    <mergeCell ref="D176:J176"/>
    <mergeCell ref="D177:J177"/>
    <mergeCell ref="A172:J172"/>
    <mergeCell ref="D173:J17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4294967295" verticalDpi="4294967295" r:id="rId1"/>
  <headerFooter>
    <oddFooter>Page &amp;P of &amp;N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1" r:id="rId4" name="Option Button 7">
              <controlPr defaultSize="0" autoFill="0" autoLine="0" autoPict="0">
                <anchor moveWithCells="1">
                  <from>
                    <xdr:col>1</xdr:col>
                    <xdr:colOff>0</xdr:colOff>
                    <xdr:row>8</xdr:row>
                    <xdr:rowOff>0</xdr:rowOff>
                  </from>
                  <to>
                    <xdr:col>3</xdr:col>
                    <xdr:colOff>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5" name="Option Button 8">
              <controlPr defaultSize="0" autoFill="0" autoLine="0" autoPict="0" altText="Partial Plans">
                <anchor moveWithCells="1">
                  <from>
                    <xdr:col>3</xdr:col>
                    <xdr:colOff>0</xdr:colOff>
                    <xdr:row>8</xdr:row>
                    <xdr:rowOff>0</xdr:rowOff>
                  </from>
                  <to>
                    <xdr:col>5</xdr:col>
                    <xdr:colOff>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6" name="Group Box 16">
              <controlPr defaultSize="0" autoFill="0" autoPict="0">
                <anchor moveWithCells="1">
                  <from>
                    <xdr:col>1</xdr:col>
                    <xdr:colOff>0</xdr:colOff>
                    <xdr:row>8</xdr:row>
                    <xdr:rowOff>0</xdr:rowOff>
                  </from>
                  <to>
                    <xdr:col>10</xdr:col>
                    <xdr:colOff>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7" name="Group Box 23">
              <controlPr defaultSize="0" autoFill="0" autoPict="0">
                <anchor moveWithCells="1">
                  <from>
                    <xdr:col>1</xdr:col>
                    <xdr:colOff>0</xdr:colOff>
                    <xdr:row>9</xdr:row>
                    <xdr:rowOff>0</xdr:rowOff>
                  </from>
                  <to>
                    <xdr:col>10</xdr:col>
                    <xdr:colOff>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8" name="Option Button 24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0</xdr:rowOff>
                  </from>
                  <to>
                    <xdr:col>3</xdr:col>
                    <xdr:colOff>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9" name="Option Button 25">
              <controlPr defaultSize="0" autoFill="0" autoLine="0" autoPict="0">
                <anchor moveWithCells="1">
                  <from>
                    <xdr:col>3</xdr:col>
                    <xdr:colOff>0</xdr:colOff>
                    <xdr:row>9</xdr:row>
                    <xdr:rowOff>0</xdr:rowOff>
                  </from>
                  <to>
                    <xdr:col>5</xdr:col>
                    <xdr:colOff>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10" name="Option Button 26">
              <controlPr defaultSize="0" autoFill="0" autoLine="0" autoPict="0">
                <anchor moveWithCells="1">
                  <from>
                    <xdr:col>5</xdr:col>
                    <xdr:colOff>0</xdr:colOff>
                    <xdr:row>9</xdr:row>
                    <xdr:rowOff>0</xdr:rowOff>
                  </from>
                  <to>
                    <xdr:col>7</xdr:col>
                    <xdr:colOff>190500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11" name="Option Button 28">
              <controlPr defaultSize="0" autoFill="0" autoLine="0" autoPict="0">
                <anchor moveWithCells="1">
                  <from>
                    <xdr:col>5</xdr:col>
                    <xdr:colOff>0</xdr:colOff>
                    <xdr:row>8</xdr:row>
                    <xdr:rowOff>0</xdr:rowOff>
                  </from>
                  <to>
                    <xdr:col>7</xdr:col>
                    <xdr:colOff>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12" name="Option Button 34">
              <controlPr defaultSize="0" autoFill="0" autoLine="0" autoPict="0">
                <anchor moveWithCells="1">
                  <from>
                    <xdr:col>7</xdr:col>
                    <xdr:colOff>0</xdr:colOff>
                    <xdr:row>8</xdr:row>
                    <xdr:rowOff>0</xdr:rowOff>
                  </from>
                  <to>
                    <xdr:col>9</xdr:col>
                    <xdr:colOff>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13" name="Option Button 36">
              <controlPr defaultSize="0" autoFill="0" autoLine="0" autoPict="0">
                <anchor moveWithCells="1">
                  <from>
                    <xdr:col>7</xdr:col>
                    <xdr:colOff>0</xdr:colOff>
                    <xdr:row>9</xdr:row>
                    <xdr:rowOff>0</xdr:rowOff>
                  </from>
                  <to>
                    <xdr:col>9</xdr:col>
                    <xdr:colOff>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14" name="Group Box 37">
              <controlPr defaultSize="0" autoFill="0" autoPict="0">
                <anchor moveWithCells="1">
                  <from>
                    <xdr:col>1</xdr:col>
                    <xdr:colOff>0</xdr:colOff>
                    <xdr:row>7</xdr:row>
                    <xdr:rowOff>0</xdr:rowOff>
                  </from>
                  <to>
                    <xdr:col>10</xdr:col>
                    <xdr:colOff>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15" name="Option Button 38">
              <controlPr defaultSize="0" autoFill="0" autoLine="0" autoPict="0">
                <anchor moveWithCells="1">
                  <from>
                    <xdr:col>3</xdr:col>
                    <xdr:colOff>0</xdr:colOff>
                    <xdr:row>7</xdr:row>
                    <xdr:rowOff>0</xdr:rowOff>
                  </from>
                  <to>
                    <xdr:col>4</xdr:col>
                    <xdr:colOff>285750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16" name="Option Button 39">
              <controlPr defaultSize="0" autoFill="0" autoLine="0" autoPict="0">
                <anchor moveWithCells="1">
                  <from>
                    <xdr:col>1</xdr:col>
                    <xdr:colOff>0</xdr:colOff>
                    <xdr:row>7</xdr:row>
                    <xdr:rowOff>0</xdr:rowOff>
                  </from>
                  <to>
                    <xdr:col>3</xdr:col>
                    <xdr:colOff>161925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17" name="Option Button 40">
              <controlPr defaultSize="0" autoFill="0" autoLine="0" autoPict="0">
                <anchor moveWithCells="1">
                  <from>
                    <xdr:col>5</xdr:col>
                    <xdr:colOff>0</xdr:colOff>
                    <xdr:row>7</xdr:row>
                    <xdr:rowOff>0</xdr:rowOff>
                  </from>
                  <to>
                    <xdr:col>7</xdr:col>
                    <xdr:colOff>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18" name="Option Button 41">
              <controlPr defaultSize="0" autoFill="0" autoLine="0" autoPict="0">
                <anchor moveWithCells="1">
                  <from>
                    <xdr:col>7</xdr:col>
                    <xdr:colOff>0</xdr:colOff>
                    <xdr:row>7</xdr:row>
                    <xdr:rowOff>0</xdr:rowOff>
                  </from>
                  <to>
                    <xdr:col>9</xdr:col>
                    <xdr:colOff>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9" r:id="rId19" name="Drop Down 45">
              <controlPr defaultSize="0" autoLine="0" autoPict="0">
                <anchor moveWithCells="1">
                  <from>
                    <xdr:col>0</xdr:col>
                    <xdr:colOff>866775</xdr:colOff>
                    <xdr:row>1</xdr:row>
                    <xdr:rowOff>0</xdr:rowOff>
                  </from>
                  <to>
                    <xdr:col>0</xdr:col>
                    <xdr:colOff>1619250</xdr:colOff>
                    <xdr:row>1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0" r:id="rId20" name="Spinner 46">
              <controlPr defaultSize="0" autoPict="0">
                <anchor moveWithCells="1" sizeWithCells="1">
                  <from>
                    <xdr:col>7</xdr:col>
                    <xdr:colOff>171450</xdr:colOff>
                    <xdr:row>1</xdr:row>
                    <xdr:rowOff>0</xdr:rowOff>
                  </from>
                  <to>
                    <xdr:col>8</xdr:col>
                    <xdr:colOff>0</xdr:colOff>
                    <xdr:row>1</xdr:row>
                    <xdr:rowOff>238125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"/>
  <sheetViews>
    <sheetView workbookViewId="0">
      <selection activeCell="D28" sqref="D28"/>
    </sheetView>
  </sheetViews>
  <sheetFormatPr defaultRowHeight="15" x14ac:dyDescent="0.25"/>
  <cols>
    <col min="1" max="1" width="25.85546875" customWidth="1"/>
    <col min="2" max="2" width="10.7109375" bestFit="1" customWidth="1"/>
    <col min="3" max="3" width="7.85546875" customWidth="1"/>
    <col min="4" max="4" width="31.5703125" customWidth="1"/>
    <col min="5" max="5" width="24.7109375" customWidth="1"/>
  </cols>
  <sheetData>
    <row r="1" spans="1:5" x14ac:dyDescent="0.25">
      <c r="A1" s="67" t="s">
        <v>61</v>
      </c>
    </row>
    <row r="2" spans="1:5" x14ac:dyDescent="0.25">
      <c r="A2" t="s">
        <v>56</v>
      </c>
      <c r="B2" t="s">
        <v>57</v>
      </c>
      <c r="C2" t="s">
        <v>58</v>
      </c>
      <c r="D2" t="s">
        <v>59</v>
      </c>
      <c r="E2" t="s">
        <v>60</v>
      </c>
    </row>
    <row r="3" spans="1:5" x14ac:dyDescent="0.25">
      <c r="A3" s="57"/>
      <c r="B3" s="66"/>
      <c r="C3" s="28"/>
      <c r="D3" s="57"/>
      <c r="E3" s="57"/>
    </row>
    <row r="4" spans="1:5" x14ac:dyDescent="0.25">
      <c r="A4" s="57"/>
      <c r="B4" s="66"/>
      <c r="C4" s="28"/>
      <c r="D4" s="57"/>
      <c r="E4" s="57"/>
    </row>
    <row r="5" spans="1:5" x14ac:dyDescent="0.25">
      <c r="A5" s="57"/>
      <c r="B5" s="66"/>
      <c r="C5" s="28"/>
      <c r="D5" s="57"/>
      <c r="E5" s="57"/>
    </row>
    <row r="6" spans="1:5" x14ac:dyDescent="0.25">
      <c r="A6" s="57"/>
      <c r="B6" s="66"/>
      <c r="C6" s="28"/>
      <c r="D6" s="57"/>
      <c r="E6" s="57"/>
    </row>
    <row r="7" spans="1:5" x14ac:dyDescent="0.25">
      <c r="A7" s="57"/>
      <c r="B7" s="66"/>
      <c r="C7" s="28"/>
      <c r="D7" s="57"/>
      <c r="E7" s="57"/>
    </row>
    <row r="8" spans="1:5" x14ac:dyDescent="0.25">
      <c r="A8" s="57"/>
      <c r="B8" s="66"/>
      <c r="C8" s="28"/>
      <c r="D8" s="57"/>
      <c r="E8" s="57"/>
    </row>
    <row r="9" spans="1:5" x14ac:dyDescent="0.25">
      <c r="A9" s="57"/>
      <c r="B9" s="66"/>
      <c r="C9" s="28"/>
      <c r="D9" s="57"/>
      <c r="E9" s="57"/>
    </row>
    <row r="10" spans="1:5" x14ac:dyDescent="0.25">
      <c r="A10" s="57"/>
      <c r="B10" s="66"/>
      <c r="C10" s="28"/>
      <c r="D10" s="57"/>
      <c r="E10" s="57"/>
    </row>
    <row r="11" spans="1:5" x14ac:dyDescent="0.25">
      <c r="A11" s="57"/>
      <c r="B11" s="66"/>
      <c r="C11" s="28"/>
      <c r="D11" s="57"/>
      <c r="E11" s="57"/>
    </row>
    <row r="12" spans="1:5" x14ac:dyDescent="0.25">
      <c r="A12" s="57"/>
      <c r="B12" s="66"/>
      <c r="C12" s="28"/>
      <c r="D12" s="57"/>
      <c r="E12" s="57"/>
    </row>
    <row r="13" spans="1:5" x14ac:dyDescent="0.25">
      <c r="A13" s="57"/>
      <c r="B13" s="66"/>
      <c r="C13" s="28"/>
      <c r="D13" s="57"/>
      <c r="E13" s="57"/>
    </row>
    <row r="14" spans="1:5" x14ac:dyDescent="0.25">
      <c r="A14" s="57"/>
      <c r="B14" s="66"/>
      <c r="C14" s="28"/>
      <c r="D14" s="57"/>
      <c r="E14" s="57"/>
    </row>
    <row r="15" spans="1:5" x14ac:dyDescent="0.25">
      <c r="A15" s="57"/>
      <c r="B15" s="66"/>
      <c r="C15" s="28"/>
      <c r="D15" s="57"/>
      <c r="E15" s="57"/>
    </row>
    <row r="16" spans="1:5" x14ac:dyDescent="0.25">
      <c r="A16" s="57"/>
      <c r="B16" s="66"/>
      <c r="C16" s="28"/>
      <c r="D16" s="57"/>
      <c r="E16" s="57"/>
    </row>
    <row r="17" spans="1:5" x14ac:dyDescent="0.25">
      <c r="A17" s="57"/>
      <c r="B17" s="66"/>
      <c r="C17" s="28"/>
      <c r="D17" s="57"/>
      <c r="E17" s="57"/>
    </row>
    <row r="18" spans="1:5" x14ac:dyDescent="0.25">
      <c r="A18" s="57"/>
      <c r="B18" s="66"/>
      <c r="C18" s="28"/>
      <c r="D18" s="57"/>
      <c r="E18" s="57"/>
    </row>
    <row r="19" spans="1:5" x14ac:dyDescent="0.25">
      <c r="A19" s="57"/>
      <c r="B19" s="66"/>
      <c r="C19" s="28"/>
      <c r="D19" s="57"/>
      <c r="E19" s="57"/>
    </row>
    <row r="20" spans="1:5" x14ac:dyDescent="0.25">
      <c r="A20" s="57"/>
      <c r="B20" s="66"/>
      <c r="C20" s="28"/>
      <c r="D20" s="57"/>
      <c r="E20" s="57"/>
    </row>
    <row r="21" spans="1:5" x14ac:dyDescent="0.25">
      <c r="A21" s="57"/>
      <c r="B21" s="66"/>
      <c r="C21" s="28"/>
      <c r="D21" s="57"/>
      <c r="E21" s="57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"/>
  <sheetViews>
    <sheetView workbookViewId="0">
      <selection activeCell="C1" sqref="C1"/>
    </sheetView>
  </sheetViews>
  <sheetFormatPr defaultRowHeight="15" x14ac:dyDescent="0.25"/>
  <cols>
    <col min="1" max="1" width="14" style="57" customWidth="1"/>
    <col min="2" max="2" width="12.28515625" style="66" customWidth="1"/>
  </cols>
  <sheetData>
    <row r="1" spans="1:2" x14ac:dyDescent="0.25">
      <c r="A1" s="57" t="s">
        <v>63</v>
      </c>
      <c r="B1" s="57" t="s">
        <v>64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"/>
  <sheetViews>
    <sheetView workbookViewId="0">
      <selection activeCell="C8" sqref="C8"/>
    </sheetView>
  </sheetViews>
  <sheetFormatPr defaultRowHeight="15" x14ac:dyDescent="0.25"/>
  <sheetData>
    <row r="1" spans="1:1" x14ac:dyDescent="0.25">
      <c r="A1" t="s">
        <v>52</v>
      </c>
    </row>
    <row r="2" spans="1:1" x14ac:dyDescent="0.25">
      <c r="A2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Takeoff</vt:lpstr>
      <vt:lpstr>Change Log</vt:lpstr>
      <vt:lpstr>Drawing Index</vt:lpstr>
      <vt:lpstr>Sheet3</vt:lpstr>
      <vt:lpstr>Takeoff!Print_Area</vt:lpstr>
      <vt:lpstr>Takeoff!Print_Titles</vt:lpstr>
    </vt:vector>
  </TitlesOfParts>
  <Company>Amico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Takeoff Template</dc:title>
  <dc:creator>Kevin Joh</dc:creator>
  <dc:description>v1.4 - Gauge section added._x000d_
v1.5 - NIT PS note added.</dc:description>
  <cp:lastModifiedBy>Ajay Balkaran</cp:lastModifiedBy>
  <cp:lastPrinted>2015-07-30T14:50:11Z</cp:lastPrinted>
  <dcterms:created xsi:type="dcterms:W3CDTF">2012-05-15T17:18:37Z</dcterms:created>
  <dcterms:modified xsi:type="dcterms:W3CDTF">2023-09-22T17:23:50Z</dcterms:modified>
  <cp:version>1.6</cp:version>
</cp:coreProperties>
</file>