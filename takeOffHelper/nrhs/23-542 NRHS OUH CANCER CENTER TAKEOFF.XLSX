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Pipeline Share\Pipeline Projects\23-542 NRHS OUH CANCER CENTER\"/>
    </mc:Choice>
  </mc:AlternateContent>
  <xr:revisionPtr revIDLastSave="0" documentId="8_{49383FC0-F570-4A61-BB0B-19BCC6A44B51}" xr6:coauthVersionLast="47" xr6:coauthVersionMax="47" xr10:uidLastSave="{00000000-0000-0000-0000-000000000000}"/>
  <bookViews>
    <workbookView xWindow="38400" yWindow="0" windowWidth="19200" windowHeight="21600" xr2:uid="{00000000-000D-0000-FFFF-FFFF00000000}"/>
  </bookViews>
  <sheets>
    <sheet name="Takeoff" sheetId="1" r:id="rId1"/>
    <sheet name="Change Log" sheetId="2" r:id="rId2"/>
    <sheet name="Drawing Index" sheetId="4" r:id="rId3"/>
    <sheet name="Sheet3" sheetId="3" r:id="rId4"/>
  </sheets>
  <definedNames>
    <definedName name="_xlnm.Print_Area" localSheetId="0">Takeoff!$A:$J</definedName>
    <definedName name="_xlnm.Print_Titles" localSheetId="0">Takeoff!$1:$2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5" i="1" l="1"/>
  <c r="B226" i="1" s="1"/>
  <c r="B224" i="1"/>
  <c r="B216" i="1"/>
  <c r="B215" i="1"/>
  <c r="B214" i="1"/>
  <c r="B213" i="1"/>
  <c r="B212" i="1"/>
  <c r="B211" i="1"/>
  <c r="B210" i="1"/>
  <c r="B209" i="1"/>
  <c r="B208" i="1"/>
  <c r="B200" i="1"/>
  <c r="B199" i="1"/>
  <c r="B198" i="1"/>
  <c r="B197" i="1"/>
  <c r="B196" i="1"/>
  <c r="B201" i="1" l="1"/>
  <c r="B217" i="1"/>
  <c r="B112" i="1"/>
  <c r="B113" i="1"/>
  <c r="B114" i="1"/>
  <c r="B115" i="1"/>
  <c r="B116" i="1"/>
  <c r="B117" i="1"/>
  <c r="B118" i="1"/>
  <c r="B87" i="1"/>
  <c r="B93" i="1" l="1"/>
  <c r="B94" i="1"/>
  <c r="L94" i="1" s="1"/>
  <c r="B95" i="1"/>
  <c r="L95" i="1" s="1"/>
  <c r="B96" i="1"/>
  <c r="L96" i="1" s="1"/>
  <c r="B97" i="1"/>
  <c r="L97" i="1" s="1"/>
  <c r="B98" i="1"/>
  <c r="L98" i="1" s="1"/>
  <c r="L93" i="1" l="1"/>
  <c r="B104" i="1" s="1"/>
  <c r="K93" i="1"/>
  <c r="K96" i="1"/>
  <c r="K94" i="1"/>
  <c r="K95" i="1"/>
  <c r="K98" i="1"/>
  <c r="B99" i="1"/>
  <c r="K97" i="1"/>
  <c r="M98" i="1"/>
  <c r="M96" i="1"/>
  <c r="M94" i="1"/>
  <c r="M97" i="1"/>
  <c r="M95" i="1"/>
  <c r="M93" i="1"/>
  <c r="B80" i="1"/>
  <c r="B79" i="1"/>
  <c r="B78" i="1"/>
  <c r="B81" i="1"/>
  <c r="B103" i="1" l="1"/>
  <c r="B105" i="1"/>
  <c r="B128" i="1"/>
  <c r="B127" i="1"/>
  <c r="B126" i="1"/>
  <c r="B125" i="1"/>
  <c r="B159" i="1"/>
  <c r="B177" i="1"/>
  <c r="B176" i="1"/>
  <c r="B178" i="1"/>
  <c r="B175" i="1"/>
  <c r="B174" i="1"/>
  <c r="B187" i="1"/>
  <c r="B188" i="1" s="1"/>
  <c r="B181" i="1"/>
  <c r="B180" i="1"/>
  <c r="B179" i="1"/>
  <c r="B167" i="1"/>
  <c r="B168" i="1" s="1"/>
  <c r="B161" i="1"/>
  <c r="B160" i="1"/>
  <c r="B158" i="1"/>
  <c r="B153" i="1"/>
  <c r="B154" i="1" s="1"/>
  <c r="B148" i="1"/>
  <c r="B147" i="1"/>
  <c r="B141" i="1"/>
  <c r="B140" i="1"/>
  <c r="B139" i="1"/>
  <c r="B138" i="1"/>
  <c r="B137" i="1"/>
  <c r="B136" i="1"/>
  <c r="B135" i="1"/>
  <c r="B134" i="1"/>
  <c r="B133" i="1"/>
  <c r="B56" i="1"/>
  <c r="B68" i="1" s="1"/>
  <c r="B55" i="1"/>
  <c r="B67" i="1" s="1"/>
  <c r="B54" i="1"/>
  <c r="B66" i="1" s="1"/>
  <c r="B53" i="1"/>
  <c r="B65" i="1" s="1"/>
  <c r="B52" i="1"/>
  <c r="B64" i="1" s="1"/>
  <c r="B51" i="1"/>
  <c r="B63" i="1" s="1"/>
  <c r="B50" i="1"/>
  <c r="B62" i="1" s="1"/>
  <c r="B49" i="1"/>
  <c r="B61" i="1" s="1"/>
  <c r="B39" i="1"/>
  <c r="B38" i="1"/>
  <c r="B37" i="1"/>
  <c r="B36" i="1"/>
  <c r="B35" i="1"/>
  <c r="B34" i="1"/>
  <c r="B44" i="1" s="1"/>
  <c r="B45" i="1" s="1"/>
  <c r="B33" i="1"/>
  <c r="B32" i="1"/>
  <c r="B149" i="1" l="1"/>
  <c r="B129" i="1"/>
  <c r="B162" i="1"/>
  <c r="B182" i="1"/>
  <c r="B57" i="1"/>
  <c r="B69" i="1"/>
  <c r="B73" i="1" s="1"/>
  <c r="B74" i="1" s="1"/>
  <c r="B40" i="1"/>
  <c r="B142" i="1"/>
  <c r="B17" i="1" l="1"/>
  <c r="B16" i="1"/>
  <c r="B120" i="1" l="1"/>
  <c r="B119" i="1"/>
  <c r="B22" i="1"/>
  <c r="B21" i="1"/>
  <c r="B20" i="1"/>
  <c r="B19" i="1"/>
  <c r="B18" i="1"/>
  <c r="B15" i="1"/>
  <c r="B88" i="1"/>
  <c r="B89" i="1" s="1"/>
  <c r="B82" i="1"/>
  <c r="B83" i="1" s="1"/>
  <c r="B27" i="1" l="1"/>
  <c r="B28" i="1" l="1"/>
  <c r="B121" i="1" l="1"/>
  <c r="B23" i="1"/>
  <c r="B106" i="1"/>
</calcChain>
</file>

<file path=xl/sharedStrings.xml><?xml version="1.0" encoding="utf-8"?>
<sst xmlns="http://schemas.openxmlformats.org/spreadsheetml/2006/main" count="298" uniqueCount="112">
  <si>
    <t>OXY</t>
  </si>
  <si>
    <t>AIR</t>
  </si>
  <si>
    <t>VAC</t>
  </si>
  <si>
    <t>N2O</t>
  </si>
  <si>
    <t>WAG</t>
  </si>
  <si>
    <t>CO2</t>
  </si>
  <si>
    <t>N20</t>
  </si>
  <si>
    <t xml:space="preserve"> </t>
  </si>
  <si>
    <t>QTY</t>
  </si>
  <si>
    <t>GAS</t>
  </si>
  <si>
    <t>SIZE</t>
  </si>
  <si>
    <t>DESCRIPTION</t>
  </si>
  <si>
    <t xml:space="preserve">Model </t>
  </si>
  <si>
    <t>TOTAL</t>
  </si>
  <si>
    <t>MEDICAL GAS PIPELINE TAKE-OFF</t>
  </si>
  <si>
    <t>1/2"</t>
  </si>
  <si>
    <t>4"</t>
  </si>
  <si>
    <t>3"</t>
  </si>
  <si>
    <t>2-1/2"</t>
  </si>
  <si>
    <t>2"</t>
  </si>
  <si>
    <t>1-1/2"</t>
  </si>
  <si>
    <t>1-1/4"</t>
  </si>
  <si>
    <t>1"</t>
  </si>
  <si>
    <t>3/4"</t>
  </si>
  <si>
    <t xml:space="preserve">PROJECT: </t>
  </si>
  <si>
    <t xml:space="preserve">LOCATION: </t>
  </si>
  <si>
    <t>SLIDE</t>
  </si>
  <si>
    <t>MANIFOLD w/ ACCESSORIES***</t>
  </si>
  <si>
    <t>***INCLUDES: GAUGES, HEADBAR BRACKETS AND MANIFOLD WALL/STAND BRACKETS</t>
  </si>
  <si>
    <t xml:space="preserve">BID DATE: </t>
  </si>
  <si>
    <t>NIT</t>
  </si>
  <si>
    <t>BALL VALVE - FULL PORT, LOCKING HANDLE &amp; 2 GAUGE PORTS</t>
  </si>
  <si>
    <t>LIQUID MANIFOLD w/ RESERVE MANIFOLD (SIMPLEX) AND ACCESSORIES***</t>
  </si>
  <si>
    <t>MAIN</t>
  </si>
  <si>
    <t>RESERVE</t>
  </si>
  <si>
    <t>TYPE</t>
  </si>
  <si>
    <t>0-100 psi</t>
  </si>
  <si>
    <t>0-300 psi</t>
  </si>
  <si>
    <t>Vacuum</t>
  </si>
  <si>
    <t>INA</t>
  </si>
  <si>
    <t>GASES</t>
  </si>
  <si>
    <t>OXY, AIR, N2O, CO2</t>
  </si>
  <si>
    <t>NIT, INA</t>
  </si>
  <si>
    <t>VAC, WAG</t>
  </si>
  <si>
    <t>***INCLUDES: PRESSURE SWITCHES, ISOLATION VALVE, RELIEF VALVE, GAUGES, HEADER BAR BRACKETS AND MANIFOLD WALL/STAND BRACKETS</t>
  </si>
  <si>
    <t>***QTY DOES NOT TAKE INTO CONSIDERATION THOSE INCLUDED WITH MANIFOLDS/PRESSURE SWITCHES</t>
  </si>
  <si>
    <t>300</t>
  </si>
  <si>
    <t>PRESSURE SWITCH w/ GAUGE***</t>
  </si>
  <si>
    <t>***NIT/INA PS = 1 LOW + 1 HIGH</t>
  </si>
  <si>
    <t xml:space="preserve">LEAD SOURCE: </t>
  </si>
  <si>
    <t xml:space="preserve">DRAWINGS: </t>
  </si>
  <si>
    <t xml:space="preserve">SPECS: </t>
  </si>
  <si>
    <t xml:space="preserve">Estimators: </t>
  </si>
  <si>
    <t xml:space="preserve">Estimator: </t>
  </si>
  <si>
    <t xml:space="preserve">Rev: </t>
  </si>
  <si>
    <t xml:space="preserve">Est. No: </t>
  </si>
  <si>
    <t>Issue</t>
  </si>
  <si>
    <t>Date</t>
  </si>
  <si>
    <t>Rev #</t>
  </si>
  <si>
    <t>Description</t>
  </si>
  <si>
    <t>Drawings Revised</t>
  </si>
  <si>
    <t xml:space="preserve">Change Log: </t>
  </si>
  <si>
    <t>GAUGES***</t>
  </si>
  <si>
    <t>Drawing No.</t>
  </si>
  <si>
    <t>Issue Date</t>
  </si>
  <si>
    <t>MRI WALL OUTLET</t>
  </si>
  <si>
    <t>MRI SLIDE</t>
  </si>
  <si>
    <t>CEILING OUTLET - DISS</t>
  </si>
  <si>
    <t>HOSE</t>
  </si>
  <si>
    <t>LENGTH</t>
  </si>
  <si>
    <t>FITTING 1</t>
  </si>
  <si>
    <t>FITTING 2</t>
  </si>
  <si>
    <t>DF</t>
  </si>
  <si>
    <t>RETRACTOR</t>
  </si>
  <si>
    <t xml:space="preserve">CHECK VALVE </t>
  </si>
  <si>
    <t>PRESSURE CONTROL PANEL</t>
  </si>
  <si>
    <t>OXYGEN FILL STATION</t>
  </si>
  <si>
    <t>PRESSURE</t>
  </si>
  <si>
    <t>MOUNT</t>
  </si>
  <si>
    <t>GENERAL PURPOSE REGULATOR</t>
  </si>
  <si>
    <t>1/2</t>
  </si>
  <si>
    <t>BUTTERFLY VALVE</t>
  </si>
  <si>
    <t>5"</t>
  </si>
  <si>
    <t>6"</t>
  </si>
  <si>
    <t xml:space="preserve">LAST UPDATE: </t>
  </si>
  <si>
    <t xml:space="preserve">Date: </t>
  </si>
  <si>
    <t xml:space="preserve">Adder Option 1 - </t>
  </si>
  <si>
    <t>AB</t>
  </si>
  <si>
    <t xml:space="preserve">2X2 STAGGERED </t>
  </si>
  <si>
    <t>SOURCE</t>
  </si>
  <si>
    <t>MANIFOLD</t>
  </si>
  <si>
    <t>06"</t>
  </si>
  <si>
    <t>DC</t>
  </si>
  <si>
    <t>NRHS OUH CANCER CENTER</t>
  </si>
  <si>
    <t>23-542</t>
  </si>
  <si>
    <t>05-10-2023</t>
  </si>
  <si>
    <t>3240 HEALTHLEX DR. NORMAN OK</t>
  </si>
  <si>
    <t>MG200</t>
  </si>
  <si>
    <t>AREA ALARM PANEL ETHERNET</t>
  </si>
  <si>
    <t>XX</t>
  </si>
  <si>
    <t xml:space="preserve">ALTERNATIVE Option 1 - </t>
  </si>
  <si>
    <t>X</t>
  </si>
  <si>
    <t>AAP-RN_1, AAP-RN_2</t>
  </si>
  <si>
    <t xml:space="preserve">Adder Option 2 - </t>
  </si>
  <si>
    <t>3X3 STRAIGHT</t>
  </si>
  <si>
    <t>M4D-DL-U-OXY</t>
  </si>
  <si>
    <t xml:space="preserve">20 POINTS </t>
  </si>
  <si>
    <t>MASTER ALARM PANEL ETHERNET</t>
  </si>
  <si>
    <t>ZVB-RN_1, ZVB-RN_2, ZVB-RN_3, ZVB-RN_4</t>
  </si>
  <si>
    <t>REMIOVED ONE 1 OXY AND 1 VAC  SENSOR</t>
  </si>
  <si>
    <t>ZONE VALVE BOX SENSOR PROVISION</t>
  </si>
  <si>
    <t>WALL OUTLET - CHEMETRTON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</si>
</sst>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mm/dd/yy;@"/>
    <numFmt numFmtId="166" formatCode="m/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6" xfId="0" applyNumberForma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6" xfId="0" applyNumberFormat="1" applyBorder="1" applyAlignment="1">
      <alignment horizontal="center" vertical="center"/>
    </xf>
    <xf numFmtId="1" fontId="3" fillId="2" borderId="0" xfId="0" applyNumberFormat="1" applyFont="1" applyFill="1" applyAlignment="1">
      <alignment vertical="center"/>
    </xf>
    <xf numFmtId="1" fontId="1" fillId="2" borderId="0" xfId="0" applyNumberFormat="1" applyFont="1" applyFill="1"/>
    <xf numFmtId="49" fontId="0" fillId="0" borderId="2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1" fontId="2" fillId="0" borderId="0" xfId="0" applyNumberFormat="1" applyFont="1"/>
    <xf numFmtId="1" fontId="0" fillId="2" borderId="0" xfId="0" applyNumberFormat="1" applyFill="1"/>
    <xf numFmtId="1" fontId="0" fillId="2" borderId="0" xfId="0" applyNumberFormat="1" applyFill="1" applyAlignment="1">
      <alignment horizontal="right"/>
    </xf>
    <xf numFmtId="1" fontId="3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left" vertical="center"/>
    </xf>
    <xf numFmtId="1" fontId="4" fillId="2" borderId="1" xfId="0" applyNumberFormat="1" applyFont="1" applyFill="1" applyBorder="1" applyAlignment="1">
      <alignment horizontal="center" textRotation="90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/>
    </xf>
    <xf numFmtId="1" fontId="1" fillId="2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vertical="center" wrapText="1"/>
    </xf>
    <xf numFmtId="1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1" fontId="1" fillId="2" borderId="0" xfId="0" applyNumberFormat="1" applyFont="1" applyFill="1" applyAlignment="1">
      <alignment horizontal="left" vertical="top" wrapText="1"/>
    </xf>
    <xf numFmtId="49" fontId="1" fillId="0" borderId="2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0" borderId="4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20" xfId="0" applyNumberFormat="1" applyFont="1" applyBorder="1" applyAlignment="1">
      <alignment horizontal="center" vertical="center"/>
    </xf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/>
    </xf>
    <xf numFmtId="12" fontId="0" fillId="0" borderId="2" xfId="0" applyNumberFormat="1" applyBorder="1" applyAlignment="1">
      <alignment horizontal="center" vertical="center" wrapText="1"/>
    </xf>
    <xf numFmtId="12" fontId="0" fillId="0" borderId="1" xfId="0" applyNumberForma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4" fontId="0" fillId="0" borderId="0" xfId="0" applyNumberFormat="1"/>
    <xf numFmtId="0" fontId="1" fillId="0" borderId="0" xfId="0" applyFont="1"/>
    <xf numFmtId="49" fontId="1" fillId="0" borderId="2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65" fontId="0" fillId="2" borderId="0" xfId="0" applyNumberFormat="1" applyFill="1"/>
    <xf numFmtId="165" fontId="0" fillId="2" borderId="0" xfId="0" applyNumberFormat="1" applyFill="1" applyAlignment="1">
      <alignment horizontal="right"/>
    </xf>
    <xf numFmtId="165" fontId="0" fillId="0" borderId="0" xfId="0" applyNumberFormat="1"/>
    <xf numFmtId="49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1" fillId="0" borderId="19" xfId="0" applyNumberFormat="1" applyFont="1" applyBorder="1" applyAlignment="1">
      <alignment horizontal="right"/>
    </xf>
    <xf numFmtId="1" fontId="1" fillId="0" borderId="1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0" fontId="1" fillId="0" borderId="2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49" fontId="1" fillId="0" borderId="6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49" fontId="1" fillId="0" borderId="24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3" borderId="31" xfId="0" applyNumberFormat="1" applyFill="1" applyBorder="1" applyAlignment="1">
      <alignment horizontal="center" vertical="center" wrapText="1"/>
    </xf>
    <xf numFmtId="49" fontId="0" fillId="3" borderId="25" xfId="0" applyNumberForma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1" fillId="0" borderId="22" xfId="0" applyNumberFormat="1" applyFon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4" fontId="1" fillId="0" borderId="22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0" fillId="0" borderId="1" xfId="0" applyNumberFormat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49" fontId="1" fillId="0" borderId="16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1" fillId="0" borderId="2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1" fillId="0" borderId="0" xfId="0" applyFont="1" applyAlignment="1">
      <alignment horizontal="left" vertical="top" wrapText="1"/>
    </xf>
    <xf numFmtId="1" fontId="1" fillId="3" borderId="7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2" fontId="0" fillId="3" borderId="2" xfId="0" applyNumberFormat="1" applyFill="1" applyBorder="1" applyAlignment="1">
      <alignment horizontal="center" vertical="center" wrapText="1"/>
    </xf>
    <xf numFmtId="12" fontId="0" fillId="3" borderId="1" xfId="0" applyNumberForma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numFmt numFmtId="167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7" formatCode="m/d/yyyy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checked="Checked" firstButton="1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GBox" noThreeD="1"/>
</file>

<file path=xl/ctrlProps/ctrlProp12.xml><?xml version="1.0" encoding="utf-8"?>
<formControlPr xmlns="http://schemas.microsoft.com/office/spreadsheetml/2009/9/main" objectType="Radio" firstButton="1" lockText="1" noThreeD="1"/>
</file>

<file path=xl/ctrlProps/ctrlProp13.xml><?xml version="1.0" encoding="utf-8"?>
<formControlPr xmlns="http://schemas.microsoft.com/office/spreadsheetml/2009/9/main" objectType="Radio" checked="Checked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Drop" dropStyle="combo" dx="16" fmlaRange="Sheet3!$A$2:$A$9" noThreeD="1" sel="1" val="0"/>
</file>

<file path=xl/ctrlProps/ctrlProp17.xml><?xml version="1.0" encoding="utf-8"?>
<formControlPr xmlns="http://schemas.microsoft.com/office/spreadsheetml/2009/9/main" objectType="Spin" dx="22" fmlaLink="$J$2" max="30000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3</xdr:col>
          <xdr:colOff>0</xdr:colOff>
          <xdr:row>9</xdr:row>
          <xdr:rowOff>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Full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5</xdr:col>
          <xdr:colOff>0</xdr:colOff>
          <xdr:row>9</xdr:row>
          <xdr:rowOff>0</xdr:rowOff>
        </xdr:to>
        <xdr:sp macro="" textlink="">
          <xdr:nvSpPr>
            <xdr:cNvPr id="1032" name="Option Button 8" descr="Partial Plans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Partial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10</xdr:col>
          <xdr:colOff>0</xdr:colOff>
          <xdr:row>9</xdr:row>
          <xdr:rowOff>0</xdr:rowOff>
        </xdr:to>
        <xdr:sp macro="" textlink="">
          <xdr:nvSpPr>
            <xdr:cNvPr id="1040" name="Group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10</xdr:col>
          <xdr:colOff>0</xdr:colOff>
          <xdr:row>10</xdr:row>
          <xdr:rowOff>0</xdr:rowOff>
        </xdr:to>
        <xdr:sp macro="" textlink="">
          <xdr:nvSpPr>
            <xdr:cNvPr id="1047" name="Group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1048" name="Option 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5</xdr:col>
          <xdr:colOff>0</xdr:colOff>
          <xdr:row>10</xdr:row>
          <xdr:rowOff>0</xdr:rowOff>
        </xdr:to>
        <xdr:sp macro="" textlink="">
          <xdr:nvSpPr>
            <xdr:cNvPr id="1049" name="Option 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7</xdr:col>
          <xdr:colOff>190500</xdr:colOff>
          <xdr:row>10</xdr:row>
          <xdr:rowOff>0</xdr:rowOff>
        </xdr:to>
        <xdr:sp macro="" textlink="">
          <xdr:nvSpPr>
            <xdr:cNvPr id="1050" name="Option 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Narrative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7</xdr:col>
          <xdr:colOff>0</xdr:colOff>
          <xdr:row>9</xdr:row>
          <xdr:rowOff>0</xdr:rowOff>
        </xdr:to>
        <xdr:sp macro="" textlink="">
          <xdr:nvSpPr>
            <xdr:cNvPr id="1052" name="Option 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Budget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9</xdr:col>
          <xdr:colOff>0</xdr:colOff>
          <xdr:row>9</xdr:row>
          <xdr:rowOff>0</xdr:rowOff>
        </xdr:to>
        <xdr:sp macro="" textlink="">
          <xdr:nvSpPr>
            <xdr:cNvPr id="1058" name="Option 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9</xdr:col>
          <xdr:colOff>0</xdr:colOff>
          <xdr:row>10</xdr:row>
          <xdr:rowOff>0</xdr:rowOff>
        </xdr:to>
        <xdr:sp macro="" textlink="">
          <xdr:nvSpPr>
            <xdr:cNvPr id="1060" name="Option 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Other: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10</xdr:col>
          <xdr:colOff>0</xdr:colOff>
          <xdr:row>8</xdr:row>
          <xdr:rowOff>0</xdr:rowOff>
        </xdr:to>
        <xdr:sp macro="" textlink="">
          <xdr:nvSpPr>
            <xdr:cNvPr id="1061" name="Group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285750</xdr:colOff>
          <xdr:row>8</xdr:row>
          <xdr:rowOff>0</xdr:rowOff>
        </xdr:to>
        <xdr:sp macro="" textlink="">
          <xdr:nvSpPr>
            <xdr:cNvPr id="1062" name="Option 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161925</xdr:colOff>
          <xdr:row>8</xdr:row>
          <xdr:rowOff>0</xdr:rowOff>
        </xdr:to>
        <xdr:sp macro="" textlink="">
          <xdr:nvSpPr>
            <xdr:cNvPr id="1063" name="Option 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Distributor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7</xdr:col>
          <xdr:colOff>0</xdr:colOff>
          <xdr:row>8</xdr:row>
          <xdr:rowOff>0</xdr:rowOff>
        </xdr:to>
        <xdr:sp macro="" textlink="">
          <xdr:nvSpPr>
            <xdr:cNvPr id="1064" name="Option 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Bid Site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0</xdr:colOff>
          <xdr:row>8</xdr:row>
          <xdr:rowOff>0</xdr:rowOff>
        </xdr:to>
        <xdr:sp macro="" textlink="">
          <xdr:nvSpPr>
            <xdr:cNvPr id="1065" name="Option 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Inside Sales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866775</xdr:colOff>
          <xdr:row>1</xdr:row>
          <xdr:rowOff>0</xdr:rowOff>
        </xdr:from>
        <xdr:to>
          <xdr:col>0</xdr:col>
          <xdr:colOff>1619250</xdr:colOff>
          <xdr:row>1</xdr:row>
          <xdr:rowOff>238125</xdr:rowOff>
        </xdr:to>
        <xdr:sp macro="" textlink="">
          <xdr:nvSpPr>
            <xdr:cNvPr id="1069" name="Drop Dow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171450</xdr:colOff>
          <xdr:row>1</xdr:row>
          <xdr:rowOff>0</xdr:rowOff>
        </xdr:from>
        <xdr:to>
          <xdr:col>8</xdr:col>
          <xdr:colOff>0</xdr:colOff>
          <xdr:row>1</xdr:row>
          <xdr:rowOff>238125</xdr:rowOff>
        </xdr:to>
        <xdr:sp macro="" textlink="">
          <xdr:nvSpPr>
            <xdr:cNvPr id="1070" name="Spinner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1" totalsRowShown="0">
  <autoFilter ref="A2:E21" xr:uid="{00000000-0009-0000-0100-000001000000}"/>
  <tableColumns count="5">
    <tableColumn id="1" xr3:uid="{00000000-0010-0000-0000-000001000000}" name="Issue" dataDxfId="7"/>
    <tableColumn id="2" xr3:uid="{00000000-0010-0000-0000-000002000000}" name="Date" dataDxfId="6"/>
    <tableColumn id="3" xr3:uid="{00000000-0010-0000-0000-000003000000}" name="Rev #" dataDxfId="5"/>
    <tableColumn id="4" xr3:uid="{00000000-0010-0000-0000-000004000000}" name="Description" dataDxfId="4"/>
    <tableColumn id="5" xr3:uid="{00000000-0010-0000-0000-000005000000}" name="Drawings Revised" dataDxfId="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40" totalsRowShown="0" headerRowDxfId="2">
  <autoFilter ref="A1:B40" xr:uid="{00000000-0009-0000-0100-000004000000}"/>
  <tableColumns count="2">
    <tableColumn id="1" xr3:uid="{00000000-0010-0000-0100-000001000000}" name="Drawing No." dataDxfId="1"/>
    <tableColumn id="2" xr3:uid="{00000000-0010-0000-0100-000002000000}" name="Issue Date" dataDxfId="0">
      <calculatedColumnFormula>Takeoff!#REF!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26"/>
  <sheetViews>
    <sheetView tabSelected="1" zoomScaleNormal="100" workbookViewId="0">
      <pane xSplit="10" ySplit="2" topLeftCell="L75" activePane="bottomRight" state="frozen"/>
      <selection pane="topRight" activeCell="K1" sqref="K1"/>
      <selection pane="bottomLeft" activeCell="A3" sqref="A3"/>
      <selection pane="bottomRight" activeCell="Q105" sqref="Q105"/>
    </sheetView>
  </sheetViews>
  <sheetFormatPr defaultRowHeight="15" x14ac:dyDescent="0.25"/>
  <cols>
    <col min="1" max="1" width="28.7109375" style="53" customWidth="1"/>
    <col min="2" max="2" width="4.28515625" style="4" customWidth="1"/>
    <col min="3" max="3" width="6.7109375" style="3" customWidth="1"/>
    <col min="4" max="10" width="6.7109375" style="2" customWidth="1"/>
    <col min="11" max="13" width="3.5703125" style="44" bestFit="1" customWidth="1"/>
    <col min="14" max="14" width="9.140625" style="18" customWidth="1"/>
    <col min="15" max="21" width="9.140625" style="28" customWidth="1"/>
    <col min="22" max="80" width="9.140625" style="28"/>
  </cols>
  <sheetData>
    <row r="1" spans="1:80" s="72" customFormat="1" ht="19.5" customHeight="1" x14ac:dyDescent="0.25">
      <c r="A1" s="7" t="s">
        <v>95</v>
      </c>
      <c r="B1" s="7"/>
      <c r="C1" s="53"/>
      <c r="D1" s="53"/>
      <c r="E1" s="53"/>
      <c r="F1" s="57"/>
      <c r="G1" s="57"/>
      <c r="H1" s="57"/>
      <c r="I1" s="11" t="s">
        <v>55</v>
      </c>
      <c r="J1" s="69" t="s">
        <v>94</v>
      </c>
      <c r="K1" s="70"/>
      <c r="L1" s="71"/>
      <c r="M1" s="71"/>
      <c r="N1" s="93"/>
    </row>
    <row r="2" spans="1:80" ht="19.5" customHeight="1" thickBot="1" x14ac:dyDescent="0.3">
      <c r="A2" s="64" t="s">
        <v>53</v>
      </c>
      <c r="B2"/>
      <c r="C2" s="57"/>
      <c r="D2" s="57"/>
      <c r="E2" s="57"/>
      <c r="F2" s="57"/>
      <c r="G2" s="7"/>
      <c r="H2" s="7"/>
      <c r="I2" s="65" t="s">
        <v>54</v>
      </c>
      <c r="J2" s="64">
        <v>0</v>
      </c>
      <c r="K2" s="30"/>
      <c r="L2" s="31"/>
      <c r="M2" s="31"/>
      <c r="N2" s="18" t="s">
        <v>97</v>
      </c>
    </row>
    <row r="3" spans="1:80" ht="18.75" customHeight="1" x14ac:dyDescent="0.25">
      <c r="A3" s="119" t="s">
        <v>14</v>
      </c>
      <c r="B3" s="120"/>
      <c r="C3" s="120"/>
      <c r="D3" s="120"/>
      <c r="E3" s="120"/>
      <c r="F3" s="120"/>
      <c r="G3" s="120"/>
      <c r="H3" s="120"/>
      <c r="I3" s="120"/>
      <c r="J3" s="121"/>
      <c r="K3" s="21"/>
      <c r="L3" s="32"/>
      <c r="M3" s="32"/>
    </row>
    <row r="4" spans="1:80" ht="15" customHeight="1" thickBot="1" x14ac:dyDescent="0.3">
      <c r="A4" s="122"/>
      <c r="B4" s="123"/>
      <c r="C4" s="123"/>
      <c r="D4" s="123"/>
      <c r="E4" s="123"/>
      <c r="F4" s="123"/>
      <c r="G4" s="123"/>
      <c r="H4" s="123"/>
      <c r="I4" s="123"/>
      <c r="J4" s="124"/>
      <c r="K4" s="21"/>
      <c r="L4" s="32"/>
      <c r="M4" s="32"/>
    </row>
    <row r="5" spans="1:80" ht="30" customHeight="1" x14ac:dyDescent="0.25">
      <c r="A5" s="46" t="s">
        <v>24</v>
      </c>
      <c r="B5" s="114" t="s">
        <v>93</v>
      </c>
      <c r="C5" s="114"/>
      <c r="D5" s="114"/>
      <c r="E5" s="114"/>
      <c r="F5" s="114"/>
      <c r="G5" s="114"/>
      <c r="H5" s="114"/>
      <c r="I5" s="114"/>
      <c r="J5" s="114"/>
      <c r="K5" s="22"/>
      <c r="L5" s="33"/>
      <c r="M5" s="33"/>
    </row>
    <row r="6" spans="1:80" ht="19.5" customHeight="1" x14ac:dyDescent="0.25">
      <c r="A6" s="47" t="s">
        <v>25</v>
      </c>
      <c r="B6" s="115" t="s">
        <v>96</v>
      </c>
      <c r="C6" s="115"/>
      <c r="D6" s="115"/>
      <c r="E6" s="115"/>
      <c r="F6" s="115"/>
      <c r="G6" s="115"/>
      <c r="H6" s="115"/>
      <c r="I6" s="115"/>
      <c r="J6" s="115"/>
      <c r="K6" s="22"/>
      <c r="L6" s="33"/>
      <c r="M6" s="33"/>
    </row>
    <row r="7" spans="1:80" ht="19.5" customHeight="1" x14ac:dyDescent="0.25">
      <c r="A7" s="47" t="s">
        <v>29</v>
      </c>
      <c r="B7" s="125">
        <v>45085</v>
      </c>
      <c r="C7" s="125"/>
      <c r="D7" s="125"/>
      <c r="E7" s="125"/>
      <c r="F7" s="125"/>
      <c r="G7" s="125"/>
      <c r="H7" s="125"/>
      <c r="I7" s="125"/>
      <c r="J7" s="125"/>
      <c r="K7" s="22"/>
      <c r="L7" s="33"/>
      <c r="M7" s="33"/>
    </row>
    <row r="8" spans="1:80" ht="19.5" customHeight="1" x14ac:dyDescent="0.25">
      <c r="A8" s="63" t="s">
        <v>49</v>
      </c>
      <c r="B8" s="115"/>
      <c r="C8" s="115"/>
      <c r="D8" s="115"/>
      <c r="E8" s="115"/>
      <c r="F8" s="115"/>
      <c r="G8" s="115"/>
      <c r="H8" s="115"/>
      <c r="I8" s="115"/>
      <c r="J8" s="115"/>
      <c r="K8" s="22"/>
      <c r="L8" s="33"/>
      <c r="M8" s="33"/>
    </row>
    <row r="9" spans="1:80" ht="19.5" customHeight="1" x14ac:dyDescent="0.25">
      <c r="A9" s="63" t="s">
        <v>50</v>
      </c>
      <c r="B9" s="116"/>
      <c r="C9" s="117"/>
      <c r="D9" s="117"/>
      <c r="E9" s="117"/>
      <c r="F9" s="117"/>
      <c r="G9" s="117"/>
      <c r="H9" s="117"/>
      <c r="I9" s="117"/>
      <c r="J9" s="118"/>
      <c r="K9" s="22"/>
      <c r="L9" s="33"/>
      <c r="M9" s="33"/>
    </row>
    <row r="10" spans="1:80" ht="19.5" customHeight="1" x14ac:dyDescent="0.25">
      <c r="A10" s="63" t="s">
        <v>51</v>
      </c>
      <c r="B10" s="85"/>
      <c r="C10" s="86"/>
      <c r="D10" s="86"/>
      <c r="E10" s="86"/>
      <c r="F10" s="86"/>
      <c r="G10" s="86"/>
      <c r="H10" s="86"/>
      <c r="I10" s="126"/>
      <c r="J10" s="127"/>
      <c r="K10" s="22"/>
      <c r="L10" s="33"/>
      <c r="M10" s="33"/>
    </row>
    <row r="11" spans="1:80" x14ac:dyDescent="0.25">
      <c r="A11" s="47" t="s">
        <v>84</v>
      </c>
      <c r="B11" s="130"/>
      <c r="C11" s="131"/>
      <c r="D11" s="131"/>
      <c r="E11" s="131"/>
      <c r="F11" s="131"/>
      <c r="G11" s="132"/>
      <c r="H11" s="87" t="s">
        <v>85</v>
      </c>
      <c r="I11" s="128">
        <v>45051</v>
      </c>
      <c r="J11" s="129"/>
      <c r="K11" s="22"/>
      <c r="L11" s="33"/>
      <c r="M11" s="33"/>
    </row>
    <row r="12" spans="1:80" x14ac:dyDescent="0.25">
      <c r="A12" s="52"/>
      <c r="B12" s="89"/>
      <c r="C12" s="90"/>
      <c r="D12" s="90"/>
      <c r="E12" s="90"/>
      <c r="F12" s="90"/>
      <c r="G12" s="90"/>
      <c r="H12" s="91"/>
      <c r="I12" s="92"/>
      <c r="J12" s="92"/>
      <c r="K12" s="22"/>
      <c r="L12" s="33"/>
      <c r="M12" s="33"/>
    </row>
    <row r="13" spans="1:80" s="8" customFormat="1" ht="15.95" customHeight="1" thickBot="1" x14ac:dyDescent="0.3">
      <c r="A13" s="96" t="s">
        <v>111</v>
      </c>
      <c r="B13" s="96"/>
      <c r="C13" s="96"/>
      <c r="D13" s="96"/>
      <c r="E13" s="96"/>
      <c r="F13" s="96"/>
      <c r="G13" s="96"/>
      <c r="H13" s="96"/>
      <c r="I13" s="96"/>
      <c r="J13" s="96"/>
      <c r="K13" s="34"/>
      <c r="L13" s="34"/>
      <c r="M13" s="34"/>
      <c r="N13" s="1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</row>
    <row r="14" spans="1:80" x14ac:dyDescent="0.25">
      <c r="A14" s="48" t="s">
        <v>12</v>
      </c>
      <c r="B14" s="62" t="s">
        <v>8</v>
      </c>
      <c r="C14" s="15" t="s">
        <v>9</v>
      </c>
      <c r="D14" s="14"/>
      <c r="E14" s="12"/>
      <c r="F14" s="26"/>
      <c r="G14" s="26"/>
      <c r="H14" s="26"/>
      <c r="I14" s="26"/>
      <c r="J14" s="26"/>
      <c r="K14" s="34"/>
      <c r="L14" s="34"/>
      <c r="M14" s="34"/>
    </row>
    <row r="15" spans="1:80" x14ac:dyDescent="0.25">
      <c r="A15" s="51"/>
      <c r="B15" s="159">
        <f t="shared" ref="B15:B22" si="0">SUM(N15:AX15)</f>
        <v>7</v>
      </c>
      <c r="C15" s="23" t="s">
        <v>0</v>
      </c>
      <c r="D15" s="12"/>
      <c r="E15" s="7"/>
      <c r="F15" s="12"/>
      <c r="G15" s="12"/>
      <c r="H15" s="12"/>
      <c r="I15" s="12"/>
      <c r="J15" s="12"/>
      <c r="K15" s="37"/>
      <c r="L15" s="37"/>
      <c r="M15" s="37"/>
      <c r="N15" s="18">
        <v>7</v>
      </c>
    </row>
    <row r="16" spans="1:80" ht="15.75" hidden="1" customHeight="1" x14ac:dyDescent="0.25">
      <c r="A16" s="51"/>
      <c r="B16" s="159">
        <f t="shared" si="0"/>
        <v>0</v>
      </c>
      <c r="C16" s="23" t="s">
        <v>1</v>
      </c>
      <c r="D16" s="12"/>
      <c r="E16" s="7"/>
      <c r="F16" s="12"/>
      <c r="G16" s="12"/>
      <c r="H16" s="12"/>
      <c r="I16" s="12"/>
      <c r="J16" s="12"/>
      <c r="K16" s="37"/>
      <c r="L16" s="37"/>
      <c r="M16" s="37"/>
    </row>
    <row r="17" spans="1:80" ht="15.75" thickBot="1" x14ac:dyDescent="0.3">
      <c r="A17" s="51"/>
      <c r="B17" s="159">
        <f t="shared" si="0"/>
        <v>4</v>
      </c>
      <c r="C17" s="23" t="s">
        <v>2</v>
      </c>
      <c r="D17" s="12"/>
      <c r="E17" s="7"/>
      <c r="F17" s="12"/>
      <c r="G17" s="12"/>
      <c r="H17" s="12"/>
      <c r="I17" s="12"/>
      <c r="J17" s="12"/>
      <c r="K17" s="37"/>
      <c r="L17" s="37"/>
      <c r="M17" s="37"/>
      <c r="N17" s="18">
        <v>4</v>
      </c>
    </row>
    <row r="18" spans="1:80" hidden="1" x14ac:dyDescent="0.25">
      <c r="A18" s="51"/>
      <c r="B18" s="5">
        <f t="shared" si="0"/>
        <v>0</v>
      </c>
      <c r="C18" s="23" t="s">
        <v>3</v>
      </c>
      <c r="D18" s="12"/>
      <c r="E18" s="7"/>
      <c r="F18" s="12"/>
      <c r="G18" s="12"/>
      <c r="H18" s="12"/>
      <c r="I18" s="12"/>
      <c r="J18" s="12"/>
      <c r="K18" s="37"/>
      <c r="L18" s="37"/>
      <c r="M18" s="37"/>
    </row>
    <row r="19" spans="1:80" hidden="1" x14ac:dyDescent="0.25">
      <c r="A19" s="51"/>
      <c r="B19" s="5">
        <f t="shared" si="0"/>
        <v>0</v>
      </c>
      <c r="C19" s="23" t="s">
        <v>4</v>
      </c>
      <c r="D19" s="12"/>
      <c r="E19" s="7"/>
      <c r="F19" s="12"/>
      <c r="G19" s="12"/>
      <c r="H19" s="12"/>
      <c r="I19" s="12"/>
      <c r="J19" s="12"/>
      <c r="K19" s="37"/>
      <c r="L19" s="37"/>
      <c r="M19" s="37"/>
    </row>
    <row r="20" spans="1:80" hidden="1" x14ac:dyDescent="0.25">
      <c r="A20" s="51"/>
      <c r="B20" s="5">
        <f t="shared" si="0"/>
        <v>0</v>
      </c>
      <c r="C20" s="23" t="s">
        <v>5</v>
      </c>
      <c r="D20" s="12"/>
      <c r="E20" s="7"/>
      <c r="F20" s="12"/>
      <c r="G20" s="12"/>
      <c r="H20" s="12"/>
      <c r="I20" s="12"/>
      <c r="J20" s="12"/>
      <c r="K20" s="37"/>
      <c r="L20" s="37"/>
      <c r="M20" s="37"/>
    </row>
    <row r="21" spans="1:80" s="1" customFormat="1" hidden="1" x14ac:dyDescent="0.25">
      <c r="A21" s="51"/>
      <c r="B21" s="5">
        <f t="shared" si="0"/>
        <v>0</v>
      </c>
      <c r="C21" s="27" t="s">
        <v>30</v>
      </c>
      <c r="D21" s="13"/>
      <c r="E21" s="58"/>
      <c r="F21" s="13"/>
      <c r="G21" s="13"/>
      <c r="H21" s="13"/>
      <c r="I21" s="13"/>
      <c r="J21" s="13"/>
      <c r="K21" s="43"/>
      <c r="L21" s="43"/>
      <c r="M21" s="43"/>
      <c r="N21" s="94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</row>
    <row r="22" spans="1:80" ht="15.75" hidden="1" thickBot="1" x14ac:dyDescent="0.3">
      <c r="A22" s="51"/>
      <c r="B22" s="5">
        <f t="shared" si="0"/>
        <v>0</v>
      </c>
      <c r="C22" s="20" t="s">
        <v>39</v>
      </c>
      <c r="D22" s="12"/>
      <c r="E22" s="7"/>
      <c r="F22" s="12"/>
      <c r="G22" s="12"/>
      <c r="H22" s="12"/>
      <c r="I22" s="12"/>
      <c r="J22" s="12"/>
      <c r="K22" s="37"/>
      <c r="L22" s="37"/>
      <c r="M22" s="37"/>
    </row>
    <row r="23" spans="1:80" ht="16.5" customHeight="1" thickBot="1" x14ac:dyDescent="0.3">
      <c r="A23" s="49" t="s">
        <v>13</v>
      </c>
      <c r="B23" s="10">
        <f>SUM(B15:B22)</f>
        <v>11</v>
      </c>
      <c r="C23" s="17"/>
      <c r="D23" s="12"/>
      <c r="E23" s="7"/>
      <c r="F23" s="12"/>
      <c r="G23" s="12"/>
      <c r="H23" s="12"/>
      <c r="I23" s="12"/>
      <c r="J23" s="12"/>
      <c r="K23" s="37"/>
      <c r="L23" s="37"/>
      <c r="M23" s="37"/>
    </row>
    <row r="24" spans="1:80" x14ac:dyDescent="0.25">
      <c r="A24" s="50"/>
      <c r="B24" s="16"/>
      <c r="C24" s="17"/>
      <c r="D24" s="12"/>
      <c r="E24" s="7"/>
      <c r="F24" s="12"/>
      <c r="G24" s="12"/>
      <c r="H24" s="12"/>
      <c r="I24" s="12"/>
      <c r="J24" s="12"/>
      <c r="K24" s="37"/>
      <c r="L24" s="37"/>
      <c r="M24" s="37"/>
    </row>
    <row r="25" spans="1:80" s="8" customFormat="1" ht="15.95" customHeight="1" thickBot="1" x14ac:dyDescent="0.3">
      <c r="A25" s="107" t="s">
        <v>26</v>
      </c>
      <c r="B25" s="107"/>
      <c r="C25" s="107"/>
      <c r="D25" s="107"/>
      <c r="E25" s="107"/>
      <c r="F25" s="107"/>
      <c r="G25" s="107"/>
      <c r="H25" s="107"/>
      <c r="I25" s="107"/>
      <c r="J25" s="107"/>
      <c r="K25" s="34"/>
      <c r="L25" s="34"/>
      <c r="M25" s="34"/>
      <c r="N25" s="18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</row>
    <row r="26" spans="1:80" x14ac:dyDescent="0.25">
      <c r="A26" s="48" t="s">
        <v>12</v>
      </c>
      <c r="B26" s="62" t="s">
        <v>8</v>
      </c>
      <c r="C26" s="14"/>
      <c r="D26" s="14"/>
      <c r="E26" s="7"/>
      <c r="F26" s="12"/>
      <c r="G26" s="12"/>
      <c r="H26" s="12"/>
      <c r="I26" s="12"/>
      <c r="J26" s="12"/>
      <c r="K26" s="37"/>
      <c r="L26" s="37"/>
      <c r="M26" s="37"/>
    </row>
    <row r="27" spans="1:80" ht="15.75" thickBot="1" x14ac:dyDescent="0.3">
      <c r="A27" s="51"/>
      <c r="B27" s="5">
        <f>B17</f>
        <v>4</v>
      </c>
      <c r="C27" s="12"/>
      <c r="D27" s="12"/>
      <c r="E27" s="7"/>
      <c r="F27" s="12"/>
      <c r="G27" s="12"/>
      <c r="H27" s="12"/>
      <c r="I27" s="12"/>
      <c r="J27" s="12"/>
      <c r="K27" s="37"/>
      <c r="L27" s="37"/>
      <c r="M27" s="37"/>
    </row>
    <row r="28" spans="1:80" ht="15.75" thickBot="1" x14ac:dyDescent="0.3">
      <c r="A28" s="49" t="s">
        <v>13</v>
      </c>
      <c r="B28" s="10">
        <f>SUM(B27)</f>
        <v>4</v>
      </c>
      <c r="C28" s="11"/>
      <c r="D28" s="12"/>
      <c r="E28" s="7"/>
      <c r="F28" s="12"/>
      <c r="G28" s="12"/>
      <c r="H28" s="12"/>
      <c r="I28" s="12"/>
      <c r="J28" s="12"/>
      <c r="K28" s="37"/>
      <c r="L28" s="37"/>
      <c r="M28" s="37"/>
    </row>
    <row r="29" spans="1:80" hidden="1" x14ac:dyDescent="0.25">
      <c r="A29" s="50"/>
      <c r="B29" s="16"/>
      <c r="C29" s="11"/>
      <c r="D29" s="12"/>
      <c r="E29" s="7"/>
      <c r="F29" s="12"/>
      <c r="G29" s="12"/>
      <c r="H29" s="12"/>
      <c r="I29" s="12"/>
      <c r="J29" s="12"/>
      <c r="K29" s="37"/>
      <c r="L29" s="37"/>
      <c r="M29" s="37"/>
      <c r="CB29"/>
    </row>
    <row r="30" spans="1:80" s="8" customFormat="1" ht="15.95" hidden="1" customHeight="1" thickBot="1" x14ac:dyDescent="0.3">
      <c r="A30" s="107" t="s">
        <v>65</v>
      </c>
      <c r="B30" s="107"/>
      <c r="C30" s="107"/>
      <c r="D30" s="107"/>
      <c r="E30" s="107"/>
      <c r="F30" s="107"/>
      <c r="G30" s="107"/>
      <c r="H30" s="107"/>
      <c r="I30" s="107"/>
      <c r="J30" s="107"/>
      <c r="K30" s="34"/>
      <c r="L30" s="34"/>
      <c r="M30" s="34"/>
      <c r="N30" s="1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</row>
    <row r="31" spans="1:80" hidden="1" x14ac:dyDescent="0.25">
      <c r="A31" s="48" t="s">
        <v>12</v>
      </c>
      <c r="B31" s="62" t="s">
        <v>8</v>
      </c>
      <c r="C31" s="15" t="s">
        <v>9</v>
      </c>
      <c r="D31" s="14"/>
      <c r="E31" s="12"/>
      <c r="F31" s="26"/>
      <c r="G31" s="26"/>
      <c r="H31" s="26"/>
      <c r="I31" s="26"/>
      <c r="J31" s="26"/>
      <c r="K31" s="34"/>
      <c r="L31" s="34"/>
      <c r="M31" s="34"/>
      <c r="CB31"/>
    </row>
    <row r="32" spans="1:80" hidden="1" x14ac:dyDescent="0.25">
      <c r="A32" s="51"/>
      <c r="B32" s="5">
        <f t="shared" ref="B32:B39" si="1">SUM(N32:AW32)</f>
        <v>0</v>
      </c>
      <c r="C32" s="23" t="s">
        <v>0</v>
      </c>
      <c r="D32" s="12"/>
      <c r="E32" s="7"/>
      <c r="F32" s="12"/>
      <c r="G32" s="12"/>
      <c r="H32" s="12"/>
      <c r="I32" s="12"/>
      <c r="J32" s="12"/>
      <c r="K32" s="37"/>
      <c r="L32" s="37"/>
      <c r="M32" s="37"/>
      <c r="CB32"/>
    </row>
    <row r="33" spans="1:80" hidden="1" x14ac:dyDescent="0.25">
      <c r="A33" s="51"/>
      <c r="B33" s="5">
        <f t="shared" si="1"/>
        <v>0</v>
      </c>
      <c r="C33" s="23" t="s">
        <v>1</v>
      </c>
      <c r="D33" s="12"/>
      <c r="E33" s="7"/>
      <c r="F33" s="12"/>
      <c r="G33" s="12"/>
      <c r="H33" s="12"/>
      <c r="I33" s="12"/>
      <c r="J33" s="12"/>
      <c r="K33" s="37"/>
      <c r="L33" s="37"/>
      <c r="M33" s="37"/>
      <c r="CB33"/>
    </row>
    <row r="34" spans="1:80" hidden="1" x14ac:dyDescent="0.25">
      <c r="A34" s="51"/>
      <c r="B34" s="5">
        <f t="shared" si="1"/>
        <v>0</v>
      </c>
      <c r="C34" s="23" t="s">
        <v>2</v>
      </c>
      <c r="D34" s="12"/>
      <c r="E34" s="7"/>
      <c r="F34" s="12"/>
      <c r="G34" s="12"/>
      <c r="H34" s="12"/>
      <c r="I34" s="12"/>
      <c r="J34" s="12"/>
      <c r="K34" s="37"/>
      <c r="L34" s="37"/>
      <c r="M34" s="37"/>
      <c r="CB34"/>
    </row>
    <row r="35" spans="1:80" hidden="1" x14ac:dyDescent="0.25">
      <c r="A35" s="51"/>
      <c r="B35" s="5">
        <f t="shared" si="1"/>
        <v>0</v>
      </c>
      <c r="C35" s="23" t="s">
        <v>6</v>
      </c>
      <c r="D35" s="12"/>
      <c r="E35" s="7"/>
      <c r="F35" s="12"/>
      <c r="G35" s="12"/>
      <c r="H35" s="12"/>
      <c r="I35" s="12"/>
      <c r="J35" s="12"/>
      <c r="K35" s="37"/>
      <c r="L35" s="37"/>
      <c r="M35" s="37"/>
      <c r="CB35"/>
    </row>
    <row r="36" spans="1:80" hidden="1" x14ac:dyDescent="0.25">
      <c r="A36" s="51"/>
      <c r="B36" s="5">
        <f t="shared" si="1"/>
        <v>0</v>
      </c>
      <c r="C36" s="23" t="s">
        <v>4</v>
      </c>
      <c r="D36" s="12"/>
      <c r="E36" s="7"/>
      <c r="F36" s="12"/>
      <c r="G36" s="12"/>
      <c r="H36" s="12"/>
      <c r="I36" s="12"/>
      <c r="J36" s="12"/>
      <c r="K36" s="37"/>
      <c r="L36" s="37"/>
      <c r="M36" s="37"/>
      <c r="CB36"/>
    </row>
    <row r="37" spans="1:80" hidden="1" x14ac:dyDescent="0.25">
      <c r="A37" s="51"/>
      <c r="B37" s="5">
        <f t="shared" si="1"/>
        <v>0</v>
      </c>
      <c r="C37" s="23" t="s">
        <v>5</v>
      </c>
      <c r="D37" s="12"/>
      <c r="E37" s="7"/>
      <c r="F37" s="12"/>
      <c r="G37" s="12"/>
      <c r="H37" s="12"/>
      <c r="I37" s="12"/>
      <c r="J37" s="12"/>
      <c r="K37" s="37"/>
      <c r="L37" s="37"/>
      <c r="M37" s="37"/>
      <c r="CB37"/>
    </row>
    <row r="38" spans="1:80" s="1" customFormat="1" hidden="1" x14ac:dyDescent="0.25">
      <c r="A38" s="51"/>
      <c r="B38" s="5">
        <f t="shared" si="1"/>
        <v>0</v>
      </c>
      <c r="C38" s="27" t="s">
        <v>30</v>
      </c>
      <c r="D38" s="13"/>
      <c r="E38" s="58"/>
      <c r="F38" s="13"/>
      <c r="G38" s="13"/>
      <c r="H38" s="13"/>
      <c r="I38" s="13"/>
      <c r="J38" s="13"/>
      <c r="K38" s="43"/>
      <c r="L38" s="43"/>
      <c r="M38" s="43"/>
      <c r="N38" s="94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</row>
    <row r="39" spans="1:80" ht="15.75" hidden="1" thickBot="1" x14ac:dyDescent="0.3">
      <c r="A39" s="51"/>
      <c r="B39" s="5">
        <f t="shared" si="1"/>
        <v>0</v>
      </c>
      <c r="C39" s="20" t="s">
        <v>39</v>
      </c>
      <c r="D39" s="12"/>
      <c r="E39" s="7"/>
      <c r="F39" s="12"/>
      <c r="G39" s="12"/>
      <c r="H39" s="12"/>
      <c r="I39" s="12"/>
      <c r="J39" s="12"/>
      <c r="K39" s="37"/>
      <c r="L39" s="37"/>
      <c r="M39" s="37"/>
      <c r="CB39"/>
    </row>
    <row r="40" spans="1:80" ht="15.75" hidden="1" thickBot="1" x14ac:dyDescent="0.3">
      <c r="A40" s="49" t="s">
        <v>13</v>
      </c>
      <c r="B40" s="10">
        <f>SUM(B32:B39)</f>
        <v>0</v>
      </c>
      <c r="C40" s="17"/>
      <c r="D40" s="12"/>
      <c r="E40" s="7"/>
      <c r="F40" s="12"/>
      <c r="G40" s="12"/>
      <c r="H40" s="12"/>
      <c r="I40" s="12"/>
      <c r="J40" s="12"/>
      <c r="K40" s="37"/>
      <c r="L40" s="37"/>
      <c r="M40" s="37"/>
      <c r="CB40"/>
    </row>
    <row r="41" spans="1:80" hidden="1" x14ac:dyDescent="0.25">
      <c r="C41" s="14"/>
      <c r="E41" s="57"/>
      <c r="CB41"/>
    </row>
    <row r="42" spans="1:80" s="8" customFormat="1" ht="15.95" hidden="1" customHeight="1" thickBot="1" x14ac:dyDescent="0.3">
      <c r="A42" s="107" t="s">
        <v>66</v>
      </c>
      <c r="B42" s="107"/>
      <c r="C42" s="107"/>
      <c r="D42" s="107"/>
      <c r="E42" s="107"/>
      <c r="F42" s="107"/>
      <c r="G42" s="107"/>
      <c r="H42" s="107"/>
      <c r="I42" s="107"/>
      <c r="J42" s="107"/>
      <c r="K42" s="34"/>
      <c r="L42" s="34"/>
      <c r="M42" s="34"/>
      <c r="N42" s="1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</row>
    <row r="43" spans="1:80" hidden="1" x14ac:dyDescent="0.25">
      <c r="A43" s="48" t="s">
        <v>12</v>
      </c>
      <c r="B43" s="62" t="s">
        <v>8</v>
      </c>
      <c r="C43" s="14"/>
      <c r="D43" s="14"/>
      <c r="E43" s="7"/>
      <c r="F43" s="12"/>
      <c r="G43" s="12"/>
      <c r="H43" s="12"/>
      <c r="I43" s="12"/>
      <c r="J43" s="12"/>
      <c r="K43" s="37"/>
      <c r="L43" s="37"/>
      <c r="M43" s="37"/>
      <c r="CB43"/>
    </row>
    <row r="44" spans="1:80" ht="15.75" hidden="1" thickBot="1" x14ac:dyDescent="0.3">
      <c r="A44" s="51"/>
      <c r="B44" s="5">
        <f>B34</f>
        <v>0</v>
      </c>
      <c r="C44" s="12"/>
      <c r="D44" s="12"/>
      <c r="E44" s="7"/>
      <c r="F44" s="12"/>
      <c r="G44" s="12"/>
      <c r="H44" s="12"/>
      <c r="I44" s="12"/>
      <c r="J44" s="12"/>
      <c r="K44" s="37"/>
      <c r="L44" s="37"/>
      <c r="M44" s="37"/>
      <c r="CB44"/>
    </row>
    <row r="45" spans="1:80" ht="15.75" hidden="1" thickBot="1" x14ac:dyDescent="0.3">
      <c r="A45" s="49" t="s">
        <v>13</v>
      </c>
      <c r="B45" s="10">
        <f>SUM(B44)</f>
        <v>0</v>
      </c>
      <c r="C45" s="11"/>
      <c r="D45" s="12"/>
      <c r="E45" s="7"/>
      <c r="F45" s="12"/>
      <c r="G45" s="12"/>
      <c r="H45" s="12"/>
      <c r="I45" s="12"/>
      <c r="J45" s="12"/>
      <c r="K45" s="37"/>
      <c r="L45" s="37"/>
      <c r="M45" s="37"/>
      <c r="CB45"/>
    </row>
    <row r="46" spans="1:80" hidden="1" x14ac:dyDescent="0.25">
      <c r="A46" s="52"/>
      <c r="E46" s="57"/>
      <c r="CB46"/>
    </row>
    <row r="47" spans="1:80" s="8" customFormat="1" ht="15.95" hidden="1" customHeight="1" thickBot="1" x14ac:dyDescent="0.3">
      <c r="A47" s="107" t="s">
        <v>67</v>
      </c>
      <c r="B47" s="107"/>
      <c r="C47" s="107"/>
      <c r="D47" s="107"/>
      <c r="E47" s="107"/>
      <c r="F47" s="107"/>
      <c r="G47" s="107"/>
      <c r="H47" s="107"/>
      <c r="I47" s="107"/>
      <c r="J47" s="107"/>
      <c r="K47" s="34"/>
      <c r="L47" s="34"/>
      <c r="M47" s="34"/>
      <c r="N47" s="18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</row>
    <row r="48" spans="1:80" hidden="1" x14ac:dyDescent="0.25">
      <c r="A48" s="48" t="s">
        <v>12</v>
      </c>
      <c r="B48" s="62" t="s">
        <v>8</v>
      </c>
      <c r="C48" s="15" t="s">
        <v>9</v>
      </c>
      <c r="D48" s="12"/>
      <c r="E48" s="7"/>
      <c r="F48" s="12"/>
      <c r="G48" s="12"/>
      <c r="H48" s="12"/>
      <c r="I48" s="12"/>
      <c r="J48" s="12"/>
      <c r="K48" s="37"/>
      <c r="L48" s="37"/>
      <c r="M48" s="37"/>
      <c r="CB48"/>
    </row>
    <row r="49" spans="1:80" hidden="1" x14ac:dyDescent="0.25">
      <c r="A49" s="51"/>
      <c r="B49" s="5">
        <f t="shared" ref="B49:B56" si="2">SUM(N49:AW49)</f>
        <v>0</v>
      </c>
      <c r="C49" s="23" t="s">
        <v>0</v>
      </c>
      <c r="D49" s="12"/>
      <c r="E49" s="7"/>
      <c r="F49" s="12"/>
      <c r="G49" s="12"/>
      <c r="H49" s="12"/>
      <c r="I49" s="12"/>
      <c r="J49" s="12"/>
      <c r="K49" s="37"/>
      <c r="L49" s="37"/>
      <c r="M49" s="37"/>
      <c r="CB49"/>
    </row>
    <row r="50" spans="1:80" hidden="1" x14ac:dyDescent="0.25">
      <c r="A50" s="51"/>
      <c r="B50" s="5">
        <f t="shared" si="2"/>
        <v>0</v>
      </c>
      <c r="C50" s="23" t="s">
        <v>1</v>
      </c>
      <c r="D50" s="12"/>
      <c r="E50" s="7"/>
      <c r="F50" s="12"/>
      <c r="G50" s="12"/>
      <c r="H50" s="12"/>
      <c r="I50" s="12"/>
      <c r="J50" s="12"/>
      <c r="K50" s="37"/>
      <c r="L50" s="37"/>
      <c r="M50" s="37"/>
      <c r="CB50"/>
    </row>
    <row r="51" spans="1:80" hidden="1" x14ac:dyDescent="0.25">
      <c r="A51" s="51"/>
      <c r="B51" s="5">
        <f t="shared" si="2"/>
        <v>0</v>
      </c>
      <c r="C51" s="23" t="s">
        <v>2</v>
      </c>
      <c r="D51" s="12"/>
      <c r="E51" s="7"/>
      <c r="F51" s="12"/>
      <c r="G51" s="12"/>
      <c r="H51" s="12"/>
      <c r="I51" s="12"/>
      <c r="J51" s="12"/>
      <c r="K51" s="37"/>
      <c r="L51" s="37"/>
      <c r="M51" s="37"/>
      <c r="CB51"/>
    </row>
    <row r="52" spans="1:80" hidden="1" x14ac:dyDescent="0.25">
      <c r="A52" s="51"/>
      <c r="B52" s="5">
        <f t="shared" si="2"/>
        <v>0</v>
      </c>
      <c r="C52" s="23" t="s">
        <v>6</v>
      </c>
      <c r="D52" s="12"/>
      <c r="E52" s="7"/>
      <c r="F52" s="12"/>
      <c r="G52" s="12"/>
      <c r="H52" s="12"/>
      <c r="I52" s="12"/>
      <c r="J52" s="12"/>
      <c r="K52" s="37"/>
      <c r="L52" s="37"/>
      <c r="M52" s="37"/>
      <c r="CB52"/>
    </row>
    <row r="53" spans="1:80" hidden="1" x14ac:dyDescent="0.25">
      <c r="A53" s="51"/>
      <c r="B53" s="5">
        <f t="shared" si="2"/>
        <v>0</v>
      </c>
      <c r="C53" s="23" t="s">
        <v>4</v>
      </c>
      <c r="D53" s="12"/>
      <c r="E53" s="7"/>
      <c r="F53" s="12"/>
      <c r="G53" s="12"/>
      <c r="H53" s="12"/>
      <c r="I53" s="12"/>
      <c r="J53" s="12"/>
      <c r="K53" s="37"/>
      <c r="L53" s="37"/>
      <c r="M53" s="37"/>
      <c r="CB53"/>
    </row>
    <row r="54" spans="1:80" hidden="1" x14ac:dyDescent="0.25">
      <c r="A54" s="51"/>
      <c r="B54" s="5">
        <f t="shared" si="2"/>
        <v>0</v>
      </c>
      <c r="C54" s="23" t="s">
        <v>5</v>
      </c>
      <c r="D54" s="12"/>
      <c r="E54" s="7"/>
      <c r="F54" s="12"/>
      <c r="G54" s="12"/>
      <c r="H54" s="12"/>
      <c r="I54" s="12"/>
      <c r="J54" s="12"/>
      <c r="K54" s="37"/>
      <c r="L54" s="37"/>
      <c r="M54" s="37"/>
      <c r="CB54"/>
    </row>
    <row r="55" spans="1:80" s="1" customFormat="1" hidden="1" x14ac:dyDescent="0.25">
      <c r="A55" s="51"/>
      <c r="B55" s="5">
        <f t="shared" si="2"/>
        <v>0</v>
      </c>
      <c r="C55" s="27" t="s">
        <v>30</v>
      </c>
      <c r="D55" s="13"/>
      <c r="E55" s="58"/>
      <c r="F55" s="13"/>
      <c r="G55" s="13"/>
      <c r="H55" s="13"/>
      <c r="I55" s="13"/>
      <c r="J55" s="13"/>
      <c r="K55" s="43"/>
      <c r="L55" s="43"/>
      <c r="M55" s="43"/>
      <c r="N55" s="94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</row>
    <row r="56" spans="1:80" ht="15.75" hidden="1" thickBot="1" x14ac:dyDescent="0.3">
      <c r="A56" s="51"/>
      <c r="B56" s="5">
        <f t="shared" si="2"/>
        <v>0</v>
      </c>
      <c r="C56" s="20" t="s">
        <v>39</v>
      </c>
      <c r="D56" s="12"/>
      <c r="E56" s="7"/>
      <c r="F56" s="12"/>
      <c r="G56" s="12"/>
      <c r="H56" s="12"/>
      <c r="I56" s="12"/>
      <c r="J56" s="12"/>
      <c r="K56" s="37"/>
      <c r="L56" s="37"/>
      <c r="M56" s="37"/>
      <c r="CB56"/>
    </row>
    <row r="57" spans="1:80" ht="15.75" hidden="1" thickBot="1" x14ac:dyDescent="0.3">
      <c r="A57" s="49" t="s">
        <v>13</v>
      </c>
      <c r="B57" s="10">
        <f>SUM(B49:B56)</f>
        <v>0</v>
      </c>
      <c r="C57" s="11"/>
      <c r="D57" s="12"/>
      <c r="E57" s="7"/>
      <c r="F57" s="12"/>
      <c r="G57" s="12"/>
      <c r="H57" s="12"/>
      <c r="I57" s="12"/>
      <c r="J57" s="12"/>
      <c r="K57" s="37"/>
      <c r="L57" s="37"/>
      <c r="M57" s="37"/>
      <c r="CB57"/>
    </row>
    <row r="58" spans="1:80" hidden="1" x14ac:dyDescent="0.25">
      <c r="A58" s="52"/>
      <c r="E58" s="57"/>
      <c r="CB58"/>
    </row>
    <row r="59" spans="1:80" s="8" customFormat="1" ht="15.95" hidden="1" customHeight="1" thickBot="1" x14ac:dyDescent="0.3">
      <c r="A59" s="107" t="s">
        <v>68</v>
      </c>
      <c r="B59" s="107"/>
      <c r="C59" s="107"/>
      <c r="D59" s="107"/>
      <c r="E59" s="107"/>
      <c r="F59" s="107"/>
      <c r="G59" s="107"/>
      <c r="H59" s="107"/>
      <c r="I59" s="107"/>
      <c r="J59" s="107"/>
      <c r="K59" s="34"/>
      <c r="L59" s="34"/>
      <c r="M59" s="34"/>
      <c r="N59" s="18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</row>
    <row r="60" spans="1:80" hidden="1" x14ac:dyDescent="0.25">
      <c r="A60" s="48" t="s">
        <v>12</v>
      </c>
      <c r="B60" s="62" t="s">
        <v>8</v>
      </c>
      <c r="C60" s="108" t="s">
        <v>9</v>
      </c>
      <c r="D60" s="109"/>
      <c r="E60" s="109" t="s">
        <v>69</v>
      </c>
      <c r="F60" s="109"/>
      <c r="G60" s="109" t="s">
        <v>70</v>
      </c>
      <c r="H60" s="109"/>
      <c r="I60" s="109" t="s">
        <v>71</v>
      </c>
      <c r="J60" s="109"/>
      <c r="K60" s="39"/>
      <c r="L60" s="39"/>
      <c r="M60" s="39"/>
      <c r="CB60"/>
    </row>
    <row r="61" spans="1:80" hidden="1" x14ac:dyDescent="0.25">
      <c r="A61" s="51"/>
      <c r="B61" s="5">
        <f t="shared" ref="B61:B68" si="3">B49</f>
        <v>0</v>
      </c>
      <c r="C61" s="110" t="s">
        <v>0</v>
      </c>
      <c r="D61" s="111"/>
      <c r="E61" s="111" t="s">
        <v>91</v>
      </c>
      <c r="F61" s="133"/>
      <c r="G61" s="111" t="s">
        <v>72</v>
      </c>
      <c r="H61" s="133"/>
      <c r="I61" s="111"/>
      <c r="J61" s="133"/>
      <c r="K61" s="30"/>
      <c r="L61" s="30"/>
      <c r="M61" s="30"/>
      <c r="CB61"/>
    </row>
    <row r="62" spans="1:80" hidden="1" x14ac:dyDescent="0.25">
      <c r="A62" s="51"/>
      <c r="B62" s="5">
        <f t="shared" si="3"/>
        <v>0</v>
      </c>
      <c r="C62" s="110" t="s">
        <v>1</v>
      </c>
      <c r="D62" s="111"/>
      <c r="E62" s="111" t="s">
        <v>91</v>
      </c>
      <c r="F62" s="133"/>
      <c r="G62" s="111" t="s">
        <v>72</v>
      </c>
      <c r="H62" s="133"/>
      <c r="I62" s="111"/>
      <c r="J62" s="133"/>
      <c r="K62" s="30"/>
      <c r="L62" s="30"/>
      <c r="M62" s="30"/>
      <c r="CB62"/>
    </row>
    <row r="63" spans="1:80" hidden="1" x14ac:dyDescent="0.25">
      <c r="A63" s="51"/>
      <c r="B63" s="5">
        <f t="shared" si="3"/>
        <v>0</v>
      </c>
      <c r="C63" s="110" t="s">
        <v>2</v>
      </c>
      <c r="D63" s="111"/>
      <c r="E63" s="111" t="s">
        <v>91</v>
      </c>
      <c r="F63" s="133"/>
      <c r="G63" s="111" t="s">
        <v>72</v>
      </c>
      <c r="H63" s="133"/>
      <c r="I63" s="111"/>
      <c r="J63" s="133"/>
      <c r="K63" s="30"/>
      <c r="L63" s="30"/>
      <c r="M63" s="30"/>
      <c r="CB63"/>
    </row>
    <row r="64" spans="1:80" hidden="1" x14ac:dyDescent="0.25">
      <c r="A64" s="51"/>
      <c r="B64" s="5">
        <f t="shared" si="3"/>
        <v>0</v>
      </c>
      <c r="C64" s="110" t="s">
        <v>6</v>
      </c>
      <c r="D64" s="111"/>
      <c r="E64" s="111" t="s">
        <v>91</v>
      </c>
      <c r="F64" s="133"/>
      <c r="G64" s="111" t="s">
        <v>72</v>
      </c>
      <c r="H64" s="133"/>
      <c r="I64" s="111"/>
      <c r="J64" s="133"/>
      <c r="K64" s="30"/>
      <c r="L64" s="30"/>
      <c r="M64" s="30"/>
      <c r="CB64"/>
    </row>
    <row r="65" spans="1:80" hidden="1" x14ac:dyDescent="0.25">
      <c r="A65" s="51"/>
      <c r="B65" s="5">
        <f t="shared" si="3"/>
        <v>0</v>
      </c>
      <c r="C65" s="110" t="s">
        <v>4</v>
      </c>
      <c r="D65" s="111"/>
      <c r="E65" s="111" t="s">
        <v>91</v>
      </c>
      <c r="F65" s="133"/>
      <c r="G65" s="111" t="s">
        <v>72</v>
      </c>
      <c r="H65" s="133"/>
      <c r="I65" s="111"/>
      <c r="J65" s="133"/>
      <c r="K65" s="30"/>
      <c r="L65" s="30"/>
      <c r="M65" s="30"/>
      <c r="CB65"/>
    </row>
    <row r="66" spans="1:80" hidden="1" x14ac:dyDescent="0.25">
      <c r="A66" s="51"/>
      <c r="B66" s="5">
        <f t="shared" si="3"/>
        <v>0</v>
      </c>
      <c r="C66" s="110" t="s">
        <v>5</v>
      </c>
      <c r="D66" s="111"/>
      <c r="E66" s="111" t="s">
        <v>91</v>
      </c>
      <c r="F66" s="133"/>
      <c r="G66" s="111" t="s">
        <v>72</v>
      </c>
      <c r="H66" s="133"/>
      <c r="I66" s="111"/>
      <c r="J66" s="133"/>
      <c r="K66" s="30"/>
      <c r="L66" s="30"/>
      <c r="M66" s="30"/>
      <c r="CB66"/>
    </row>
    <row r="67" spans="1:80" s="1" customFormat="1" hidden="1" x14ac:dyDescent="0.25">
      <c r="A67" s="51"/>
      <c r="B67" s="5">
        <f t="shared" si="3"/>
        <v>0</v>
      </c>
      <c r="C67" s="134" t="s">
        <v>30</v>
      </c>
      <c r="D67" s="135"/>
      <c r="E67" s="111" t="s">
        <v>91</v>
      </c>
      <c r="F67" s="133"/>
      <c r="G67" s="111" t="s">
        <v>72</v>
      </c>
      <c r="H67" s="133"/>
      <c r="I67" s="111" t="s">
        <v>92</v>
      </c>
      <c r="J67" s="133"/>
      <c r="K67" s="30"/>
      <c r="L67" s="30"/>
      <c r="M67" s="30"/>
      <c r="N67" s="94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</row>
    <row r="68" spans="1:80" ht="15.75" hidden="1" thickBot="1" x14ac:dyDescent="0.3">
      <c r="A68" s="51"/>
      <c r="B68" s="5">
        <f t="shared" si="3"/>
        <v>0</v>
      </c>
      <c r="C68" s="110" t="s">
        <v>39</v>
      </c>
      <c r="D68" s="111"/>
      <c r="E68" s="111" t="s">
        <v>91</v>
      </c>
      <c r="F68" s="133"/>
      <c r="G68" s="111" t="s">
        <v>72</v>
      </c>
      <c r="H68" s="133"/>
      <c r="I68" s="111" t="s">
        <v>92</v>
      </c>
      <c r="J68" s="133"/>
      <c r="K68" s="30"/>
      <c r="L68" s="30"/>
      <c r="M68" s="30"/>
      <c r="CB68"/>
    </row>
    <row r="69" spans="1:80" ht="15.75" hidden="1" thickBot="1" x14ac:dyDescent="0.3">
      <c r="A69" s="49" t="s">
        <v>13</v>
      </c>
      <c r="B69" s="10">
        <f>SUM(B61:B68)</f>
        <v>0</v>
      </c>
      <c r="C69" s="11"/>
      <c r="D69" s="12"/>
      <c r="E69" s="12"/>
      <c r="F69" s="12"/>
      <c r="G69" s="12"/>
      <c r="H69" s="12"/>
      <c r="I69" s="12"/>
      <c r="J69" s="12"/>
      <c r="K69" s="37"/>
      <c r="L69" s="37"/>
      <c r="M69" s="37"/>
      <c r="CB69"/>
    </row>
    <row r="70" spans="1:80" hidden="1" x14ac:dyDescent="0.25">
      <c r="E70" s="57"/>
      <c r="CB70"/>
    </row>
    <row r="71" spans="1:80" s="8" customFormat="1" ht="15.95" hidden="1" customHeight="1" thickBot="1" x14ac:dyDescent="0.3">
      <c r="A71" s="107" t="s">
        <v>73</v>
      </c>
      <c r="B71" s="107"/>
      <c r="C71" s="107"/>
      <c r="D71" s="107"/>
      <c r="E71" s="107"/>
      <c r="F71" s="107"/>
      <c r="G71" s="107"/>
      <c r="H71" s="107"/>
      <c r="I71" s="107"/>
      <c r="J71" s="107"/>
      <c r="K71" s="34"/>
      <c r="L71" s="34"/>
      <c r="M71" s="34"/>
      <c r="N71" s="18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</row>
    <row r="72" spans="1:80" hidden="1" x14ac:dyDescent="0.25">
      <c r="A72" s="48" t="s">
        <v>12</v>
      </c>
      <c r="B72" s="62" t="s">
        <v>8</v>
      </c>
      <c r="C72" s="102"/>
      <c r="D72" s="102"/>
      <c r="E72" s="102"/>
      <c r="F72" s="102"/>
      <c r="G72" s="102"/>
      <c r="H72" s="102"/>
      <c r="I72" s="102"/>
      <c r="J72" s="102"/>
      <c r="K72" s="39"/>
      <c r="L72" s="39"/>
      <c r="M72" s="39"/>
      <c r="CB72"/>
    </row>
    <row r="73" spans="1:80" ht="15.75" hidden="1" thickBot="1" x14ac:dyDescent="0.3">
      <c r="A73" s="51"/>
      <c r="B73" s="5">
        <f>B69</f>
        <v>0</v>
      </c>
      <c r="C73" s="147"/>
      <c r="D73" s="148"/>
      <c r="E73" s="12"/>
      <c r="F73" s="12"/>
      <c r="G73" s="12"/>
      <c r="H73" s="12"/>
      <c r="I73" s="12"/>
      <c r="J73" s="12"/>
      <c r="K73" s="37"/>
      <c r="L73" s="37"/>
      <c r="M73" s="37"/>
      <c r="CB73"/>
    </row>
    <row r="74" spans="1:80" ht="15.75" hidden="1" thickBot="1" x14ac:dyDescent="0.3">
      <c r="A74" s="49" t="s">
        <v>13</v>
      </c>
      <c r="B74" s="10">
        <f>SUM(B73:B73)</f>
        <v>0</v>
      </c>
      <c r="C74" s="11"/>
      <c r="D74" s="12"/>
      <c r="E74" s="12"/>
      <c r="F74" s="12"/>
      <c r="G74" s="12"/>
      <c r="H74" s="12"/>
      <c r="I74" s="12"/>
      <c r="J74" s="12"/>
      <c r="K74" s="37"/>
      <c r="L74" s="37"/>
      <c r="M74" s="37"/>
      <c r="CB74"/>
    </row>
    <row r="75" spans="1:80" x14ac:dyDescent="0.25">
      <c r="A75" s="50"/>
      <c r="B75" s="16"/>
      <c r="C75" s="11"/>
      <c r="D75" s="12"/>
      <c r="E75" s="12"/>
      <c r="F75" s="12"/>
      <c r="G75" s="12"/>
      <c r="H75" s="12"/>
      <c r="I75" s="12"/>
      <c r="J75" s="12"/>
      <c r="K75" s="37"/>
      <c r="L75" s="37"/>
      <c r="M75" s="37"/>
      <c r="CB75"/>
    </row>
    <row r="76" spans="1:80" s="8" customFormat="1" ht="15.95" customHeight="1" thickBot="1" x14ac:dyDescent="0.3">
      <c r="A76" s="96" t="s">
        <v>98</v>
      </c>
      <c r="B76" s="96"/>
      <c r="C76" s="97"/>
      <c r="D76" s="97"/>
      <c r="E76" s="97"/>
      <c r="F76" s="97"/>
      <c r="G76" s="97"/>
      <c r="H76" s="97"/>
      <c r="I76" s="97"/>
      <c r="J76" s="97"/>
      <c r="K76" s="34"/>
      <c r="L76" s="34"/>
      <c r="M76" s="34"/>
      <c r="N76" s="18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</row>
    <row r="77" spans="1:80" x14ac:dyDescent="0.25">
      <c r="A77" s="48" t="s">
        <v>12</v>
      </c>
      <c r="B77" s="62" t="s">
        <v>8</v>
      </c>
      <c r="C77" s="15" t="s">
        <v>0</v>
      </c>
      <c r="D77" s="24" t="s">
        <v>1</v>
      </c>
      <c r="E77" s="24" t="s">
        <v>2</v>
      </c>
      <c r="F77" s="24" t="s">
        <v>3</v>
      </c>
      <c r="G77" s="24" t="s">
        <v>4</v>
      </c>
      <c r="H77" s="24" t="s">
        <v>5</v>
      </c>
      <c r="I77" s="24" t="s">
        <v>30</v>
      </c>
      <c r="J77" s="24" t="s">
        <v>39</v>
      </c>
      <c r="K77" s="39"/>
      <c r="L77" s="39"/>
      <c r="M77" s="39"/>
    </row>
    <row r="78" spans="1:80" ht="15.75" thickBot="1" x14ac:dyDescent="0.3">
      <c r="A78" s="51" t="s">
        <v>102</v>
      </c>
      <c r="B78" s="152">
        <f>SUM(N78:AX78)</f>
        <v>2</v>
      </c>
      <c r="C78" s="157" t="s">
        <v>99</v>
      </c>
      <c r="D78" s="158"/>
      <c r="E78" s="158" t="s">
        <v>99</v>
      </c>
      <c r="F78" s="25"/>
      <c r="G78" s="25"/>
      <c r="H78" s="25"/>
      <c r="I78" s="25"/>
      <c r="J78" s="25"/>
      <c r="K78" s="37"/>
      <c r="L78" s="37"/>
      <c r="M78" s="37"/>
      <c r="N78" s="18">
        <v>2</v>
      </c>
    </row>
    <row r="79" spans="1:80" hidden="1" x14ac:dyDescent="0.25">
      <c r="A79" s="51"/>
      <c r="B79" s="5">
        <f>SUM(N79:AX79)</f>
        <v>0</v>
      </c>
      <c r="C79" s="23"/>
      <c r="D79" s="25"/>
      <c r="E79" s="25"/>
      <c r="F79" s="25"/>
      <c r="G79" s="25"/>
      <c r="H79" s="25"/>
      <c r="I79" s="25"/>
      <c r="J79" s="25"/>
      <c r="K79" s="37"/>
      <c r="L79" s="37"/>
      <c r="M79" s="37"/>
    </row>
    <row r="80" spans="1:80" hidden="1" x14ac:dyDescent="0.25">
      <c r="A80" s="51"/>
      <c r="B80" s="5">
        <f>SUM(N80:AX80)</f>
        <v>0</v>
      </c>
      <c r="C80" s="23"/>
      <c r="D80" s="25"/>
      <c r="E80" s="25"/>
      <c r="F80" s="25"/>
      <c r="G80" s="25"/>
      <c r="H80" s="25"/>
      <c r="I80" s="25"/>
      <c r="J80" s="25"/>
      <c r="K80" s="37"/>
      <c r="L80" s="37"/>
      <c r="M80" s="37"/>
    </row>
    <row r="81" spans="1:80" hidden="1" x14ac:dyDescent="0.25">
      <c r="A81" s="51"/>
      <c r="B81" s="5">
        <f>SUM(N81:AX81)</f>
        <v>0</v>
      </c>
      <c r="C81" s="23"/>
      <c r="D81" s="25"/>
      <c r="E81" s="25"/>
      <c r="F81" s="25"/>
      <c r="G81" s="25"/>
      <c r="H81" s="25"/>
      <c r="I81" s="25"/>
      <c r="J81" s="25"/>
      <c r="K81" s="37"/>
      <c r="L81" s="37"/>
      <c r="M81" s="37"/>
    </row>
    <row r="82" spans="1:80" ht="15.75" hidden="1" thickBot="1" x14ac:dyDescent="0.3">
      <c r="A82" s="51"/>
      <c r="B82" s="5">
        <f>SUM(N82:AX82)</f>
        <v>0</v>
      </c>
      <c r="C82" s="23"/>
      <c r="D82" s="25"/>
      <c r="E82" s="25"/>
      <c r="F82" s="25"/>
      <c r="G82" s="25"/>
      <c r="H82" s="25"/>
      <c r="I82" s="25"/>
      <c r="J82" s="25"/>
      <c r="K82" s="37"/>
      <c r="L82" s="37"/>
      <c r="M82" s="37"/>
    </row>
    <row r="83" spans="1:80" ht="15.75" thickBot="1" x14ac:dyDescent="0.3">
      <c r="A83" s="49" t="s">
        <v>13</v>
      </c>
      <c r="B83" s="10">
        <f>SUM(B78:B82)</f>
        <v>2</v>
      </c>
      <c r="C83" s="11"/>
      <c r="D83" s="12"/>
      <c r="E83" s="12"/>
      <c r="F83" s="12"/>
      <c r="G83" s="12"/>
      <c r="H83" s="12"/>
      <c r="I83" s="12"/>
      <c r="J83" s="12"/>
      <c r="K83" s="37"/>
      <c r="L83" s="37"/>
      <c r="M83" s="37"/>
    </row>
    <row r="85" spans="1:80" s="8" customFormat="1" ht="15.95" customHeight="1" thickBot="1" x14ac:dyDescent="0.3">
      <c r="A85" s="96" t="s">
        <v>107</v>
      </c>
      <c r="B85" s="96"/>
      <c r="C85" s="96"/>
      <c r="D85" s="96"/>
      <c r="E85" s="96"/>
      <c r="F85" s="96"/>
      <c r="G85" s="96"/>
      <c r="H85" s="96"/>
      <c r="I85" s="96"/>
      <c r="J85" s="96"/>
      <c r="K85" s="34"/>
      <c r="L85" s="34"/>
      <c r="M85" s="34"/>
      <c r="N85" s="18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</row>
    <row r="86" spans="1:80" x14ac:dyDescent="0.25">
      <c r="A86" s="48" t="s">
        <v>12</v>
      </c>
      <c r="B86" s="62" t="s">
        <v>8</v>
      </c>
      <c r="C86" s="108" t="s">
        <v>11</v>
      </c>
      <c r="D86" s="109"/>
      <c r="E86" s="109"/>
      <c r="F86" s="109"/>
      <c r="G86" s="109"/>
      <c r="H86" s="109"/>
      <c r="I86" s="109"/>
      <c r="J86" s="109"/>
      <c r="K86" s="38"/>
      <c r="L86" s="39"/>
      <c r="M86" s="39"/>
    </row>
    <row r="87" spans="1:80" ht="15.75" thickBot="1" x14ac:dyDescent="0.3">
      <c r="A87" s="51"/>
      <c r="B87" s="5">
        <f>SUM(N87:AX87)</f>
        <v>1</v>
      </c>
      <c r="C87" s="156" t="s">
        <v>106</v>
      </c>
      <c r="D87" s="153"/>
      <c r="E87" s="153"/>
      <c r="F87" s="153"/>
      <c r="G87" s="153"/>
      <c r="H87" s="153"/>
      <c r="I87" s="153"/>
      <c r="J87" s="153"/>
      <c r="K87" s="38"/>
      <c r="L87" s="39"/>
      <c r="M87" s="39"/>
      <c r="N87" s="18">
        <v>1</v>
      </c>
    </row>
    <row r="88" spans="1:80" ht="15.75" hidden="1" thickBot="1" x14ac:dyDescent="0.3">
      <c r="A88" s="51"/>
      <c r="B88" s="5">
        <f>SUM(N88:AX88)</f>
        <v>0</v>
      </c>
      <c r="C88" s="110"/>
      <c r="D88" s="111"/>
      <c r="E88" s="111"/>
      <c r="F88" s="111"/>
      <c r="G88" s="111"/>
      <c r="H88" s="111"/>
      <c r="I88" s="111"/>
      <c r="J88" s="111"/>
      <c r="K88" s="42"/>
      <c r="L88" s="37"/>
      <c r="M88" s="37"/>
    </row>
    <row r="89" spans="1:80" ht="15.75" thickBot="1" x14ac:dyDescent="0.3">
      <c r="A89" s="49" t="s">
        <v>13</v>
      </c>
      <c r="B89" s="10">
        <f>SUM(B87:B88)</f>
        <v>1</v>
      </c>
      <c r="C89" s="11"/>
      <c r="D89" s="12"/>
      <c r="E89" s="12"/>
      <c r="F89" s="12"/>
      <c r="G89" s="12"/>
      <c r="H89" s="12"/>
      <c r="I89" s="12"/>
      <c r="J89" s="12"/>
      <c r="K89" s="37"/>
      <c r="L89" s="37"/>
      <c r="M89" s="37"/>
    </row>
    <row r="90" spans="1:80" x14ac:dyDescent="0.25">
      <c r="A90" s="52"/>
      <c r="B90" s="89"/>
      <c r="C90" s="90"/>
      <c r="D90" s="90"/>
      <c r="E90" s="90"/>
      <c r="F90" s="90"/>
      <c r="G90" s="90"/>
      <c r="H90" s="91"/>
      <c r="I90" s="92"/>
      <c r="J90" s="92"/>
      <c r="K90" s="22"/>
      <c r="L90" s="33"/>
      <c r="M90" s="33"/>
    </row>
    <row r="91" spans="1:80" s="8" customFormat="1" ht="15.95" customHeight="1" thickBot="1" x14ac:dyDescent="0.3">
      <c r="A91" s="96" t="s">
        <v>110</v>
      </c>
      <c r="B91" s="96"/>
      <c r="C91" s="96"/>
      <c r="D91" s="96"/>
      <c r="E91" s="96"/>
      <c r="F91" s="96"/>
      <c r="G91" s="96"/>
      <c r="H91" s="96"/>
      <c r="I91" s="96"/>
      <c r="J91" s="96"/>
      <c r="K91" s="34"/>
      <c r="L91" s="34"/>
      <c r="M91" s="34"/>
      <c r="N91" s="1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</row>
    <row r="92" spans="1:80" ht="18.75" x14ac:dyDescent="0.25">
      <c r="A92" s="48" t="s">
        <v>12</v>
      </c>
      <c r="B92" s="62" t="s">
        <v>8</v>
      </c>
      <c r="C92" s="15" t="s">
        <v>0</v>
      </c>
      <c r="D92" s="24" t="s">
        <v>1</v>
      </c>
      <c r="E92" s="24" t="s">
        <v>2</v>
      </c>
      <c r="F92" s="24" t="s">
        <v>3</v>
      </c>
      <c r="G92" s="24" t="s">
        <v>4</v>
      </c>
      <c r="H92" s="24" t="s">
        <v>5</v>
      </c>
      <c r="I92" s="24" t="s">
        <v>30</v>
      </c>
      <c r="J92" s="24" t="s">
        <v>39</v>
      </c>
      <c r="K92" s="35">
        <v>100</v>
      </c>
      <c r="L92" s="35" t="s">
        <v>46</v>
      </c>
      <c r="M92" s="35" t="s">
        <v>2</v>
      </c>
    </row>
    <row r="93" spans="1:80" ht="15.75" thickBot="1" x14ac:dyDescent="0.3">
      <c r="A93" s="51" t="s">
        <v>108</v>
      </c>
      <c r="B93" s="152">
        <f t="shared" ref="B93:B98" si="4">SUM(N93:AX93)</f>
        <v>4</v>
      </c>
      <c r="C93" s="154" t="s">
        <v>23</v>
      </c>
      <c r="D93" s="60"/>
      <c r="E93" s="155" t="s">
        <v>22</v>
      </c>
      <c r="F93" s="60"/>
      <c r="G93" s="60"/>
      <c r="H93" s="61"/>
      <c r="I93" s="61"/>
      <c r="J93" s="61"/>
      <c r="K93" s="36">
        <f t="shared" ref="K93:K95" si="5">(B93*COUNTA(C93,D93,F93,H93))</f>
        <v>4</v>
      </c>
      <c r="L93" s="36">
        <f t="shared" ref="L93:L95" si="6">(B93*COUNTA(I93,J93))</f>
        <v>0</v>
      </c>
      <c r="M93" s="36">
        <f t="shared" ref="M93:M95" si="7">(B93*COUNTA(E93,G93))</f>
        <v>4</v>
      </c>
      <c r="N93" s="18">
        <v>4</v>
      </c>
    </row>
    <row r="94" spans="1:80" hidden="1" x14ac:dyDescent="0.25">
      <c r="A94" s="88"/>
      <c r="B94" s="5">
        <f t="shared" si="4"/>
        <v>0</v>
      </c>
      <c r="C94" s="60"/>
      <c r="D94" s="61"/>
      <c r="E94" s="61"/>
      <c r="F94" s="61"/>
      <c r="G94" s="61"/>
      <c r="H94" s="61"/>
      <c r="I94" s="61"/>
      <c r="J94" s="61"/>
      <c r="K94" s="36">
        <f t="shared" si="5"/>
        <v>0</v>
      </c>
      <c r="L94" s="36">
        <f t="shared" si="6"/>
        <v>0</v>
      </c>
      <c r="M94" s="36">
        <f t="shared" si="7"/>
        <v>0</v>
      </c>
    </row>
    <row r="95" spans="1:80" hidden="1" x14ac:dyDescent="0.25">
      <c r="A95" s="88"/>
      <c r="B95" s="5">
        <f t="shared" si="4"/>
        <v>0</v>
      </c>
      <c r="C95" s="60"/>
      <c r="D95" s="61"/>
      <c r="E95" s="61"/>
      <c r="F95" s="61"/>
      <c r="G95" s="61"/>
      <c r="H95" s="61"/>
      <c r="I95" s="61"/>
      <c r="J95" s="61"/>
      <c r="K95" s="36">
        <f t="shared" si="5"/>
        <v>0</v>
      </c>
      <c r="L95" s="36">
        <f t="shared" si="6"/>
        <v>0</v>
      </c>
      <c r="M95" s="36">
        <f t="shared" si="7"/>
        <v>0</v>
      </c>
    </row>
    <row r="96" spans="1:80" hidden="1" x14ac:dyDescent="0.25">
      <c r="A96" s="9"/>
      <c r="B96" s="5">
        <f t="shared" si="4"/>
        <v>0</v>
      </c>
      <c r="C96" s="60"/>
      <c r="D96" s="61"/>
      <c r="E96" s="61"/>
      <c r="F96" s="61"/>
      <c r="G96" s="61"/>
      <c r="H96" s="61"/>
      <c r="I96" s="61"/>
      <c r="J96" s="61"/>
      <c r="K96" s="36">
        <f t="shared" ref="K96" si="8">(B96*COUNTA(C96,D96,F96,H96))</f>
        <v>0</v>
      </c>
      <c r="L96" s="36">
        <f t="shared" ref="L96" si="9">(B96*COUNTA(I96,J96))</f>
        <v>0</v>
      </c>
      <c r="M96" s="36">
        <f t="shared" ref="M96" si="10">(B96*COUNTA(E96,G96))</f>
        <v>0</v>
      </c>
    </row>
    <row r="97" spans="1:80" hidden="1" x14ac:dyDescent="0.25">
      <c r="A97" s="9"/>
      <c r="B97" s="5">
        <f t="shared" si="4"/>
        <v>0</v>
      </c>
      <c r="C97" s="60"/>
      <c r="D97" s="61"/>
      <c r="E97" s="61"/>
      <c r="F97" s="61"/>
      <c r="G97" s="61"/>
      <c r="H97" s="61"/>
      <c r="I97" s="61"/>
      <c r="J97" s="61"/>
      <c r="K97" s="36">
        <f t="shared" ref="K97" si="11">(B97*COUNTA(C97,D97,F97,H97))</f>
        <v>0</v>
      </c>
      <c r="L97" s="36">
        <f t="shared" ref="L97" si="12">(B97*COUNTA(I97,J97))</f>
        <v>0</v>
      </c>
      <c r="M97" s="36">
        <f t="shared" ref="M97" si="13">(B97*COUNTA(E97,G97))</f>
        <v>0</v>
      </c>
    </row>
    <row r="98" spans="1:80" ht="15.75" hidden="1" thickBot="1" x14ac:dyDescent="0.3">
      <c r="A98" s="9"/>
      <c r="B98" s="5">
        <f t="shared" si="4"/>
        <v>0</v>
      </c>
      <c r="C98" s="60"/>
      <c r="D98" s="61"/>
      <c r="E98" s="61"/>
      <c r="F98" s="61"/>
      <c r="G98" s="61"/>
      <c r="H98" s="61"/>
      <c r="I98" s="61"/>
      <c r="J98" s="61"/>
      <c r="K98" s="36">
        <f t="shared" ref="K98" si="14">(B98*COUNTA(C98,D98,F98,H98))</f>
        <v>0</v>
      </c>
      <c r="L98" s="36">
        <f t="shared" ref="L98" si="15">(B98*COUNTA(I98,J98))</f>
        <v>0</v>
      </c>
      <c r="M98" s="36">
        <f t="shared" ref="M98" si="16">(B98*COUNTA(E98,G98))</f>
        <v>0</v>
      </c>
    </row>
    <row r="99" spans="1:80" ht="15.75" thickBot="1" x14ac:dyDescent="0.3">
      <c r="A99" s="49" t="s">
        <v>13</v>
      </c>
      <c r="B99" s="10">
        <f>SUM(B93:B98)</f>
        <v>4</v>
      </c>
      <c r="C99" s="11"/>
      <c r="D99" s="12"/>
      <c r="E99" s="12"/>
      <c r="F99" s="12"/>
      <c r="G99" s="12"/>
      <c r="H99" s="12"/>
      <c r="I99" s="12"/>
      <c r="J99" s="12"/>
      <c r="K99" s="37"/>
      <c r="L99" s="37"/>
      <c r="M99" s="37"/>
    </row>
    <row r="100" spans="1:80" x14ac:dyDescent="0.25">
      <c r="A100" s="50"/>
      <c r="B100" s="16"/>
      <c r="C100" s="11"/>
      <c r="D100" s="12"/>
      <c r="E100" s="12"/>
      <c r="F100" s="12"/>
      <c r="G100" s="12"/>
      <c r="H100" s="12"/>
      <c r="I100" s="12"/>
      <c r="J100" s="12"/>
      <c r="K100" s="37"/>
      <c r="L100" s="37"/>
      <c r="M100" s="37"/>
    </row>
    <row r="101" spans="1:80" s="8" customFormat="1" ht="15.95" customHeight="1" thickBot="1" x14ac:dyDescent="0.3">
      <c r="A101" s="107" t="s">
        <v>62</v>
      </c>
      <c r="B101" s="107"/>
      <c r="C101" s="107"/>
      <c r="D101" s="107"/>
      <c r="E101" s="107"/>
      <c r="F101" s="107"/>
      <c r="G101" s="107"/>
      <c r="H101" s="107"/>
      <c r="I101" s="107"/>
      <c r="J101" s="107"/>
      <c r="K101" s="34"/>
      <c r="L101" s="34"/>
      <c r="M101" s="34"/>
      <c r="N101" s="18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</row>
    <row r="102" spans="1:80" x14ac:dyDescent="0.25">
      <c r="A102" s="48" t="s">
        <v>12</v>
      </c>
      <c r="B102" s="62" t="s">
        <v>8</v>
      </c>
      <c r="C102" s="139" t="s">
        <v>35</v>
      </c>
      <c r="D102" s="136"/>
      <c r="E102" s="108"/>
      <c r="F102" s="149" t="s">
        <v>40</v>
      </c>
      <c r="G102" s="136"/>
      <c r="H102" s="136"/>
      <c r="I102" s="136"/>
      <c r="J102" s="108"/>
      <c r="K102" s="38"/>
      <c r="L102" s="39"/>
      <c r="M102" s="39"/>
    </row>
    <row r="103" spans="1:80" ht="15" customHeight="1" x14ac:dyDescent="0.25">
      <c r="A103" s="9"/>
      <c r="B103" s="5">
        <f>SUM(K93:K98)+SUM(N103:AX103)</f>
        <v>4</v>
      </c>
      <c r="C103" s="140" t="s">
        <v>36</v>
      </c>
      <c r="D103" s="141"/>
      <c r="E103" s="142"/>
      <c r="F103" s="143" t="s">
        <v>41</v>
      </c>
      <c r="G103" s="144"/>
      <c r="H103" s="144"/>
      <c r="I103" s="144"/>
      <c r="J103" s="145"/>
      <c r="K103" s="40"/>
      <c r="L103" s="41"/>
      <c r="M103" s="41"/>
    </row>
    <row r="104" spans="1:80" ht="15" hidden="1" customHeight="1" x14ac:dyDescent="0.25">
      <c r="A104" s="9"/>
      <c r="B104" s="5">
        <f>SUM(L93:L98)+SUM(N104:AX104)</f>
        <v>0</v>
      </c>
      <c r="C104" s="140" t="s">
        <v>37</v>
      </c>
      <c r="D104" s="141"/>
      <c r="E104" s="142"/>
      <c r="F104" s="143" t="s">
        <v>42</v>
      </c>
      <c r="G104" s="144"/>
      <c r="H104" s="144"/>
      <c r="I104" s="144"/>
      <c r="J104" s="145"/>
      <c r="K104" s="40"/>
      <c r="L104" s="41"/>
      <c r="M104" s="41"/>
    </row>
    <row r="105" spans="1:80" ht="15.75" customHeight="1" thickBot="1" x14ac:dyDescent="0.3">
      <c r="A105" s="9"/>
      <c r="B105" s="5">
        <f>SUM(M93:M98)+SUM(N105:AX105)</f>
        <v>4</v>
      </c>
      <c r="C105" s="140" t="s">
        <v>38</v>
      </c>
      <c r="D105" s="141"/>
      <c r="E105" s="142"/>
      <c r="F105" s="143" t="s">
        <v>43</v>
      </c>
      <c r="G105" s="144"/>
      <c r="H105" s="144"/>
      <c r="I105" s="144"/>
      <c r="J105" s="145"/>
      <c r="K105" s="40"/>
      <c r="L105" s="41"/>
      <c r="M105" s="41"/>
    </row>
    <row r="106" spans="1:80" ht="15.75" thickBot="1" x14ac:dyDescent="0.3">
      <c r="A106" s="49" t="s">
        <v>13</v>
      </c>
      <c r="B106" s="10">
        <f>SUM(B103:B105)</f>
        <v>8</v>
      </c>
      <c r="C106" s="11"/>
      <c r="D106" s="12"/>
      <c r="E106" s="12"/>
      <c r="F106" s="12"/>
      <c r="G106" s="12"/>
      <c r="H106" s="12"/>
      <c r="I106" s="12"/>
      <c r="J106" s="12"/>
      <c r="K106" s="37"/>
      <c r="L106" s="37"/>
      <c r="M106" s="37"/>
    </row>
    <row r="107" spans="1:80" ht="15" customHeight="1" x14ac:dyDescent="0.25">
      <c r="A107" s="138" t="s">
        <v>45</v>
      </c>
      <c r="B107" s="138"/>
      <c r="C107" s="138"/>
      <c r="D107" s="138"/>
      <c r="E107" s="138"/>
      <c r="F107" s="138"/>
      <c r="G107" s="138"/>
      <c r="H107" s="138"/>
      <c r="I107" s="138"/>
      <c r="J107" s="138"/>
      <c r="K107" s="37"/>
      <c r="L107" s="37"/>
      <c r="M107" s="37"/>
    </row>
    <row r="108" spans="1:80" x14ac:dyDescent="0.25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37"/>
      <c r="L108" s="37"/>
      <c r="M108" s="37"/>
    </row>
    <row r="109" spans="1:80" x14ac:dyDescent="0.25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37"/>
      <c r="L109" s="37"/>
      <c r="M109" s="37"/>
    </row>
    <row r="110" spans="1:80" s="8" customFormat="1" ht="15.95" customHeight="1" thickBot="1" x14ac:dyDescent="0.3">
      <c r="A110" s="107" t="s">
        <v>31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34"/>
      <c r="L110" s="34"/>
      <c r="M110" s="34"/>
      <c r="N110" s="18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</row>
    <row r="111" spans="1:80" x14ac:dyDescent="0.25">
      <c r="A111" s="48" t="s">
        <v>12</v>
      </c>
      <c r="B111" s="62" t="s">
        <v>8</v>
      </c>
      <c r="C111" s="15" t="s">
        <v>10</v>
      </c>
      <c r="D111" s="14"/>
      <c r="E111" s="7"/>
      <c r="F111" s="26"/>
      <c r="G111" s="26"/>
      <c r="H111" s="26"/>
      <c r="I111" s="26"/>
      <c r="J111" s="26"/>
      <c r="K111" s="34"/>
      <c r="L111" s="34"/>
      <c r="M111" s="34"/>
    </row>
    <row r="112" spans="1:80" hidden="1" x14ac:dyDescent="0.25">
      <c r="A112" s="51"/>
      <c r="B112" s="5">
        <f t="shared" ref="B112:B120" si="17">SUM(N112:AX112)</f>
        <v>0</v>
      </c>
      <c r="C112" s="23" t="s">
        <v>15</v>
      </c>
      <c r="D112" s="12"/>
      <c r="E112" s="7"/>
      <c r="F112" s="12"/>
      <c r="G112" s="12"/>
      <c r="H112" s="12"/>
      <c r="I112" s="12"/>
      <c r="J112" s="12"/>
      <c r="K112" s="37"/>
      <c r="L112" s="37"/>
      <c r="M112" s="37"/>
    </row>
    <row r="113" spans="1:80" hidden="1" x14ac:dyDescent="0.25">
      <c r="A113" s="51"/>
      <c r="B113" s="5">
        <f t="shared" si="17"/>
        <v>0</v>
      </c>
      <c r="C113" s="23" t="s">
        <v>23</v>
      </c>
      <c r="D113" s="12"/>
      <c r="E113" s="7"/>
      <c r="F113" s="12"/>
      <c r="G113" s="12"/>
      <c r="H113" s="12"/>
      <c r="I113" s="12"/>
      <c r="J113" s="12"/>
      <c r="K113" s="37"/>
      <c r="L113" s="37"/>
      <c r="M113" s="37"/>
    </row>
    <row r="114" spans="1:80" hidden="1" x14ac:dyDescent="0.25">
      <c r="A114" s="51"/>
      <c r="B114" s="5">
        <f t="shared" si="17"/>
        <v>0</v>
      </c>
      <c r="C114" s="23" t="s">
        <v>22</v>
      </c>
      <c r="D114" s="12"/>
      <c r="E114" s="7"/>
      <c r="F114" s="12"/>
      <c r="G114" s="12"/>
      <c r="H114" s="12"/>
      <c r="I114" s="12"/>
      <c r="J114" s="12"/>
      <c r="K114" s="37"/>
      <c r="L114" s="37"/>
      <c r="M114" s="37"/>
    </row>
    <row r="115" spans="1:80" ht="15.75" thickBot="1" x14ac:dyDescent="0.3">
      <c r="A115" s="51"/>
      <c r="B115" s="159">
        <f t="shared" si="17"/>
        <v>1</v>
      </c>
      <c r="C115" s="23" t="s">
        <v>21</v>
      </c>
      <c r="D115" s="12"/>
      <c r="E115" s="7"/>
      <c r="F115" s="12"/>
      <c r="G115" s="12"/>
      <c r="H115" s="12"/>
      <c r="I115" s="12"/>
      <c r="J115" s="12"/>
      <c r="K115" s="37"/>
      <c r="L115" s="37"/>
      <c r="M115" s="37"/>
      <c r="N115" s="18">
        <v>1</v>
      </c>
    </row>
    <row r="116" spans="1:80" hidden="1" x14ac:dyDescent="0.25">
      <c r="A116" s="51"/>
      <c r="B116" s="5">
        <f t="shared" si="17"/>
        <v>0</v>
      </c>
      <c r="C116" s="23" t="s">
        <v>20</v>
      </c>
      <c r="D116" s="12"/>
      <c r="E116" s="7"/>
      <c r="F116" s="12"/>
      <c r="G116" s="12"/>
      <c r="H116" s="12"/>
      <c r="I116" s="12"/>
      <c r="J116" s="12" t="s">
        <v>7</v>
      </c>
      <c r="K116" s="37"/>
      <c r="L116" s="37"/>
      <c r="M116" s="37"/>
    </row>
    <row r="117" spans="1:80" hidden="1" x14ac:dyDescent="0.25">
      <c r="A117" s="51"/>
      <c r="B117" s="5">
        <f t="shared" si="17"/>
        <v>0</v>
      </c>
      <c r="C117" s="23" t="s">
        <v>19</v>
      </c>
      <c r="D117" s="12"/>
      <c r="E117" s="7"/>
      <c r="F117" s="12"/>
      <c r="G117" s="12"/>
      <c r="H117" s="12"/>
      <c r="I117" s="12"/>
      <c r="J117" s="12"/>
      <c r="K117" s="37"/>
      <c r="L117" s="37"/>
      <c r="M117" s="37"/>
    </row>
    <row r="118" spans="1:80" hidden="1" x14ac:dyDescent="0.25">
      <c r="A118" s="51"/>
      <c r="B118" s="5">
        <f t="shared" si="17"/>
        <v>0</v>
      </c>
      <c r="C118" s="23" t="s">
        <v>18</v>
      </c>
      <c r="D118" s="12"/>
      <c r="E118" s="7"/>
      <c r="F118" s="12"/>
      <c r="G118" s="12"/>
      <c r="H118" s="12"/>
      <c r="I118" s="12"/>
      <c r="J118" s="12"/>
      <c r="K118" s="37"/>
      <c r="L118" s="37"/>
      <c r="M118" s="37"/>
    </row>
    <row r="119" spans="1:80" hidden="1" x14ac:dyDescent="0.25">
      <c r="A119" s="51"/>
      <c r="B119" s="5">
        <f t="shared" si="17"/>
        <v>0</v>
      </c>
      <c r="C119" s="23" t="s">
        <v>17</v>
      </c>
      <c r="D119" s="12"/>
      <c r="E119" s="7"/>
      <c r="F119" s="12"/>
      <c r="G119" s="12"/>
      <c r="H119" s="12"/>
      <c r="I119" s="12"/>
      <c r="J119" s="12"/>
      <c r="K119" s="37"/>
      <c r="L119" s="37"/>
      <c r="M119" s="37"/>
    </row>
    <row r="120" spans="1:80" ht="15.75" hidden="1" thickBot="1" x14ac:dyDescent="0.3">
      <c r="A120" s="51"/>
      <c r="B120" s="5">
        <f t="shared" si="17"/>
        <v>0</v>
      </c>
      <c r="C120" s="23" t="s">
        <v>16</v>
      </c>
      <c r="D120" s="12"/>
      <c r="E120" s="7"/>
      <c r="F120" s="12"/>
      <c r="G120" s="12"/>
      <c r="H120" s="12"/>
      <c r="I120" s="12"/>
      <c r="J120" s="12"/>
      <c r="K120" s="37"/>
      <c r="L120" s="37"/>
      <c r="M120" s="37"/>
    </row>
    <row r="121" spans="1:80" ht="15.75" thickBot="1" x14ac:dyDescent="0.3">
      <c r="A121" s="49" t="s">
        <v>13</v>
      </c>
      <c r="B121" s="10">
        <f>SUM(B112:B120)</f>
        <v>1</v>
      </c>
      <c r="C121" s="14"/>
      <c r="D121" s="12"/>
      <c r="E121" s="7"/>
      <c r="F121" s="12"/>
      <c r="G121" s="12"/>
      <c r="H121" s="12"/>
      <c r="I121" s="12"/>
      <c r="J121" s="12"/>
      <c r="K121" s="37"/>
      <c r="L121" s="37"/>
      <c r="M121" s="37"/>
    </row>
    <row r="122" spans="1:80" hidden="1" x14ac:dyDescent="0.25">
      <c r="C122" s="14"/>
      <c r="E122" s="57"/>
      <c r="CB122"/>
    </row>
    <row r="123" spans="1:80" s="8" customFormat="1" ht="15.95" hidden="1" customHeight="1" thickBot="1" x14ac:dyDescent="0.3">
      <c r="A123" s="107" t="s">
        <v>81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34"/>
      <c r="L123" s="34"/>
      <c r="M123" s="34"/>
      <c r="N123" s="18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</row>
    <row r="124" spans="1:80" hidden="1" x14ac:dyDescent="0.25">
      <c r="A124" s="48" t="s">
        <v>12</v>
      </c>
      <c r="B124" s="62" t="s">
        <v>8</v>
      </c>
      <c r="C124" s="15" t="s">
        <v>10</v>
      </c>
      <c r="D124" s="14"/>
      <c r="E124" s="7"/>
      <c r="F124" s="12"/>
      <c r="G124" s="12"/>
      <c r="H124" s="12"/>
      <c r="I124" s="12"/>
      <c r="J124" s="12"/>
      <c r="K124" s="37"/>
      <c r="L124" s="37"/>
      <c r="M124" s="37"/>
      <c r="CB124"/>
    </row>
    <row r="125" spans="1:80" hidden="1" x14ac:dyDescent="0.25">
      <c r="A125" s="51"/>
      <c r="B125" s="5">
        <f>SUM(N125:AW125)</f>
        <v>0</v>
      </c>
      <c r="C125" s="23" t="s">
        <v>17</v>
      </c>
      <c r="D125" s="12"/>
      <c r="E125" s="7"/>
      <c r="F125" s="12"/>
      <c r="G125" s="12"/>
      <c r="H125" s="12"/>
      <c r="I125" s="12"/>
      <c r="J125" s="12"/>
      <c r="K125" s="37"/>
      <c r="L125" s="37"/>
      <c r="M125" s="37"/>
      <c r="CB125"/>
    </row>
    <row r="126" spans="1:80" hidden="1" x14ac:dyDescent="0.25">
      <c r="A126" s="68"/>
      <c r="B126" s="5">
        <f>SUM(N126:AW126)</f>
        <v>0</v>
      </c>
      <c r="C126" s="23" t="s">
        <v>16</v>
      </c>
      <c r="D126" s="14"/>
      <c r="E126" s="7"/>
      <c r="F126" s="12"/>
      <c r="G126" s="12"/>
      <c r="H126" s="12"/>
      <c r="I126" s="12"/>
      <c r="J126" s="12"/>
      <c r="K126" s="37"/>
      <c r="L126" s="37"/>
      <c r="M126" s="37"/>
      <c r="CB126"/>
    </row>
    <row r="127" spans="1:80" hidden="1" x14ac:dyDescent="0.25">
      <c r="A127" s="68"/>
      <c r="B127" s="5">
        <f>SUM(N127:AW127)</f>
        <v>0</v>
      </c>
      <c r="C127" s="23" t="s">
        <v>82</v>
      </c>
      <c r="D127" s="14"/>
      <c r="E127" s="7"/>
      <c r="F127" s="12"/>
      <c r="G127" s="12"/>
      <c r="H127" s="12"/>
      <c r="I127" s="12"/>
      <c r="J127" s="12"/>
      <c r="K127" s="37"/>
      <c r="L127" s="37"/>
      <c r="M127" s="37"/>
      <c r="CB127"/>
    </row>
    <row r="128" spans="1:80" ht="15.75" hidden="1" thickBot="1" x14ac:dyDescent="0.3">
      <c r="A128" s="54"/>
      <c r="B128" s="5">
        <f>SUM(N128:AW128)</f>
        <v>0</v>
      </c>
      <c r="C128" s="23" t="s">
        <v>83</v>
      </c>
      <c r="D128" s="12"/>
      <c r="E128" s="7"/>
      <c r="F128" s="12"/>
      <c r="G128" s="12"/>
      <c r="H128" s="12"/>
      <c r="I128" s="12"/>
      <c r="J128" s="12"/>
      <c r="K128" s="37"/>
      <c r="L128" s="37"/>
      <c r="M128" s="37"/>
      <c r="CB128"/>
    </row>
    <row r="129" spans="1:80" ht="15.75" hidden="1" thickBot="1" x14ac:dyDescent="0.3">
      <c r="A129" s="49" t="s">
        <v>13</v>
      </c>
      <c r="B129" s="10">
        <f>SUM(B126:B128)</f>
        <v>0</v>
      </c>
      <c r="C129" s="11"/>
      <c r="D129" s="12"/>
      <c r="E129" s="7"/>
      <c r="F129" s="12"/>
      <c r="G129" s="12"/>
      <c r="H129" s="12"/>
      <c r="I129" s="12"/>
      <c r="J129" s="12"/>
      <c r="K129" s="37"/>
      <c r="L129" s="37"/>
      <c r="M129" s="37"/>
      <c r="CB129"/>
    </row>
    <row r="130" spans="1:80" hidden="1" x14ac:dyDescent="0.25">
      <c r="E130" s="57"/>
      <c r="CB130"/>
    </row>
    <row r="131" spans="1:80" s="8" customFormat="1" ht="15.75" hidden="1" customHeight="1" thickBot="1" x14ac:dyDescent="0.3">
      <c r="A131" s="107" t="s">
        <v>74</v>
      </c>
      <c r="B131" s="107"/>
      <c r="C131" s="107"/>
      <c r="D131" s="107"/>
      <c r="E131" s="107"/>
      <c r="F131" s="107"/>
      <c r="G131" s="107"/>
      <c r="H131" s="107"/>
      <c r="I131" s="107"/>
      <c r="J131" s="107"/>
      <c r="K131" s="34"/>
      <c r="L131" s="34"/>
      <c r="M131" s="34"/>
      <c r="N131" s="18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</row>
    <row r="132" spans="1:80" hidden="1" x14ac:dyDescent="0.25">
      <c r="A132" s="73" t="s">
        <v>12</v>
      </c>
      <c r="B132" s="74" t="s">
        <v>8</v>
      </c>
      <c r="C132" s="75" t="s">
        <v>10</v>
      </c>
      <c r="D132" s="76"/>
      <c r="E132" s="57"/>
      <c r="F132" s="77"/>
      <c r="G132" s="77"/>
      <c r="H132" s="77"/>
      <c r="I132" s="77"/>
      <c r="J132" s="77"/>
      <c r="K132" s="78"/>
      <c r="L132" s="78"/>
      <c r="M132" s="78"/>
      <c r="CB132"/>
    </row>
    <row r="133" spans="1:80" hidden="1" x14ac:dyDescent="0.25">
      <c r="A133" s="79"/>
      <c r="B133" s="5">
        <f t="shared" ref="B133:B141" si="18">SUM(N133:AW133)</f>
        <v>0</v>
      </c>
      <c r="C133" s="80" t="s">
        <v>15</v>
      </c>
      <c r="E133" s="57"/>
      <c r="CB133"/>
    </row>
    <row r="134" spans="1:80" hidden="1" x14ac:dyDescent="0.25">
      <c r="A134" s="79"/>
      <c r="B134" s="5">
        <f t="shared" si="18"/>
        <v>0</v>
      </c>
      <c r="C134" s="80" t="s">
        <v>23</v>
      </c>
      <c r="E134" s="57"/>
      <c r="CB134"/>
    </row>
    <row r="135" spans="1:80" hidden="1" x14ac:dyDescent="0.25">
      <c r="A135" s="79"/>
      <c r="B135" s="5">
        <f t="shared" si="18"/>
        <v>0</v>
      </c>
      <c r="C135" s="80" t="s">
        <v>22</v>
      </c>
      <c r="E135" s="57"/>
      <c r="CB135"/>
    </row>
    <row r="136" spans="1:80" hidden="1" x14ac:dyDescent="0.25">
      <c r="A136" s="79"/>
      <c r="B136" s="5">
        <f t="shared" si="18"/>
        <v>0</v>
      </c>
      <c r="C136" s="80" t="s">
        <v>21</v>
      </c>
      <c r="E136" s="57"/>
      <c r="CB136"/>
    </row>
    <row r="137" spans="1:80" hidden="1" x14ac:dyDescent="0.25">
      <c r="A137" s="79"/>
      <c r="B137" s="5">
        <f t="shared" si="18"/>
        <v>0</v>
      </c>
      <c r="C137" s="80" t="s">
        <v>20</v>
      </c>
      <c r="E137" s="57"/>
      <c r="CB137"/>
    </row>
    <row r="138" spans="1:80" hidden="1" x14ac:dyDescent="0.25">
      <c r="A138" s="79"/>
      <c r="B138" s="5">
        <f t="shared" si="18"/>
        <v>0</v>
      </c>
      <c r="C138" s="80" t="s">
        <v>19</v>
      </c>
      <c r="E138" s="57"/>
      <c r="CB138"/>
    </row>
    <row r="139" spans="1:80" hidden="1" x14ac:dyDescent="0.25">
      <c r="A139" s="79"/>
      <c r="B139" s="5">
        <f t="shared" si="18"/>
        <v>0</v>
      </c>
      <c r="C139" s="80" t="s">
        <v>18</v>
      </c>
      <c r="E139" s="57"/>
      <c r="CB139"/>
    </row>
    <row r="140" spans="1:80" hidden="1" x14ac:dyDescent="0.25">
      <c r="A140" s="79"/>
      <c r="B140" s="5">
        <f t="shared" si="18"/>
        <v>0</v>
      </c>
      <c r="C140" s="80" t="s">
        <v>17</v>
      </c>
      <c r="E140" s="57"/>
      <c r="CB140"/>
    </row>
    <row r="141" spans="1:80" ht="15.75" hidden="1" thickBot="1" x14ac:dyDescent="0.3">
      <c r="A141" s="79"/>
      <c r="B141" s="5">
        <f t="shared" si="18"/>
        <v>0</v>
      </c>
      <c r="C141" s="80" t="s">
        <v>16</v>
      </c>
      <c r="E141" s="57"/>
      <c r="CB141"/>
    </row>
    <row r="142" spans="1:80" ht="15.75" hidden="1" thickBot="1" x14ac:dyDescent="0.3">
      <c r="A142" s="81" t="s">
        <v>13</v>
      </c>
      <c r="B142" s="82">
        <f>SUM(B133:B141)</f>
        <v>0</v>
      </c>
      <c r="C142" s="14"/>
      <c r="E142" s="57"/>
      <c r="CB142"/>
    </row>
    <row r="143" spans="1:80" hidden="1" x14ac:dyDescent="0.25">
      <c r="A143" s="52"/>
      <c r="C143" s="14"/>
      <c r="E143" s="57"/>
      <c r="CB143"/>
    </row>
    <row r="144" spans="1:80" x14ac:dyDescent="0.25">
      <c r="A144" s="83"/>
      <c r="B144" s="84"/>
      <c r="C144" s="83"/>
      <c r="D144" s="83"/>
      <c r="E144" s="83"/>
      <c r="F144" s="83"/>
      <c r="G144" s="83"/>
      <c r="H144" s="83"/>
      <c r="I144" s="83"/>
      <c r="J144" s="83"/>
      <c r="K144" s="45"/>
      <c r="L144" s="45"/>
      <c r="M144" s="45"/>
      <c r="CB144"/>
    </row>
    <row r="145" spans="1:80" ht="15.75" hidden="1" thickBot="1" x14ac:dyDescent="0.3">
      <c r="A145" s="107" t="s">
        <v>75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34"/>
      <c r="L145" s="34"/>
      <c r="M145" s="34"/>
      <c r="CB145"/>
    </row>
    <row r="146" spans="1:80" hidden="1" x14ac:dyDescent="0.25">
      <c r="A146" s="48" t="s">
        <v>12</v>
      </c>
      <c r="B146" s="62" t="s">
        <v>8</v>
      </c>
      <c r="C146" s="136" t="s">
        <v>9</v>
      </c>
      <c r="D146" s="137"/>
      <c r="E146" s="12"/>
      <c r="F146" s="26"/>
      <c r="G146" s="26"/>
      <c r="H146" s="26"/>
      <c r="I146" s="26"/>
      <c r="J146" s="26"/>
      <c r="K146" s="34"/>
      <c r="L146" s="34"/>
      <c r="M146" s="34"/>
      <c r="CB146"/>
    </row>
    <row r="147" spans="1:80" hidden="1" x14ac:dyDescent="0.25">
      <c r="A147" s="54"/>
      <c r="B147" s="5">
        <f>SUM(N147:AW147)</f>
        <v>0</v>
      </c>
      <c r="C147" s="146" t="s">
        <v>30</v>
      </c>
      <c r="D147" s="137"/>
      <c r="E147" s="12"/>
      <c r="F147" s="12"/>
      <c r="G147" s="12"/>
      <c r="H147" s="12"/>
      <c r="I147" s="12"/>
      <c r="J147" s="12"/>
      <c r="K147" s="37"/>
      <c r="L147" s="37"/>
      <c r="M147" s="37"/>
      <c r="CB147"/>
    </row>
    <row r="148" spans="1:80" ht="15.75" hidden="1" thickBot="1" x14ac:dyDescent="0.3">
      <c r="A148" s="54"/>
      <c r="B148" s="5">
        <f>SUM(N148:AW148)</f>
        <v>0</v>
      </c>
      <c r="C148" s="146" t="s">
        <v>39</v>
      </c>
      <c r="D148" s="137"/>
      <c r="E148" s="12"/>
      <c r="F148" s="12"/>
      <c r="G148" s="12"/>
      <c r="H148" s="12"/>
      <c r="I148" s="12"/>
      <c r="J148" s="12"/>
      <c r="K148" s="37"/>
      <c r="L148" s="37"/>
      <c r="M148" s="37"/>
      <c r="CB148"/>
    </row>
    <row r="149" spans="1:80" ht="15.75" hidden="1" thickBot="1" x14ac:dyDescent="0.3">
      <c r="A149" s="55" t="s">
        <v>13</v>
      </c>
      <c r="B149" s="10">
        <f>SUM(B147:B148)</f>
        <v>0</v>
      </c>
      <c r="C149" s="11"/>
      <c r="D149" s="12"/>
      <c r="E149" s="12"/>
      <c r="F149" s="12"/>
      <c r="G149" s="12"/>
      <c r="H149" s="12"/>
      <c r="I149" s="12"/>
      <c r="J149" s="12"/>
      <c r="K149" s="37"/>
      <c r="L149" s="37"/>
      <c r="M149" s="37"/>
      <c r="CB149"/>
    </row>
    <row r="150" spans="1:80" hidden="1" x14ac:dyDescent="0.25">
      <c r="CB150"/>
    </row>
    <row r="151" spans="1:80" ht="15.75" hidden="1" thickBot="1" x14ac:dyDescent="0.3">
      <c r="A151" s="107" t="s">
        <v>76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34"/>
      <c r="L151" s="34"/>
      <c r="M151" s="34"/>
      <c r="CB151"/>
    </row>
    <row r="152" spans="1:80" hidden="1" x14ac:dyDescent="0.25">
      <c r="A152" s="48" t="s">
        <v>12</v>
      </c>
      <c r="B152" s="62" t="s">
        <v>8</v>
      </c>
      <c r="C152" s="108" t="s">
        <v>77</v>
      </c>
      <c r="D152" s="150"/>
      <c r="E152" s="109" t="s">
        <v>10</v>
      </c>
      <c r="F152" s="109"/>
      <c r="G152" s="109" t="s">
        <v>78</v>
      </c>
      <c r="H152" s="109"/>
      <c r="I152" s="26"/>
      <c r="J152" s="26"/>
      <c r="K152" s="34"/>
      <c r="L152" s="34"/>
      <c r="M152" s="34"/>
      <c r="CB152"/>
    </row>
    <row r="153" spans="1:80" ht="15.75" hidden="1" thickBot="1" x14ac:dyDescent="0.3">
      <c r="A153" s="54"/>
      <c r="B153" s="5">
        <f>SUM(N153:AW153)</f>
        <v>0</v>
      </c>
      <c r="C153" s="110"/>
      <c r="D153" s="150"/>
      <c r="E153" s="111"/>
      <c r="F153" s="111"/>
      <c r="G153" s="111"/>
      <c r="H153" s="111"/>
      <c r="I153" s="12"/>
      <c r="J153" s="12"/>
      <c r="K153" s="37"/>
      <c r="L153" s="37"/>
      <c r="M153" s="37"/>
      <c r="CB153"/>
    </row>
    <row r="154" spans="1:80" ht="15.75" hidden="1" thickBot="1" x14ac:dyDescent="0.3">
      <c r="A154" s="55" t="s">
        <v>13</v>
      </c>
      <c r="B154" s="10">
        <f>SUM(B153:B153)</f>
        <v>0</v>
      </c>
      <c r="C154" s="11"/>
      <c r="D154" s="12"/>
      <c r="E154" s="12"/>
      <c r="F154" s="12"/>
      <c r="G154" s="12"/>
      <c r="H154" s="12"/>
      <c r="I154" s="12"/>
      <c r="J154" s="12"/>
      <c r="K154" s="37"/>
      <c r="L154" s="37"/>
      <c r="M154" s="37"/>
      <c r="CB154"/>
    </row>
    <row r="155" spans="1:80" hidden="1" x14ac:dyDescent="0.25">
      <c r="K155" s="45"/>
      <c r="L155" s="45"/>
      <c r="M155" s="45"/>
      <c r="CB155"/>
    </row>
    <row r="156" spans="1:80" s="8" customFormat="1" ht="15.95" customHeight="1" thickBot="1" x14ac:dyDescent="0.3">
      <c r="A156" s="107" t="s">
        <v>27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34"/>
      <c r="L156" s="34"/>
      <c r="M156" s="34"/>
      <c r="N156" s="18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</row>
    <row r="157" spans="1:80" x14ac:dyDescent="0.25">
      <c r="A157" s="48" t="s">
        <v>12</v>
      </c>
      <c r="B157" s="62" t="s">
        <v>8</v>
      </c>
      <c r="C157" s="15" t="s">
        <v>9</v>
      </c>
      <c r="D157" s="109" t="s">
        <v>11</v>
      </c>
      <c r="E157" s="109"/>
      <c r="F157" s="109"/>
      <c r="G157" s="109"/>
      <c r="H157" s="109"/>
      <c r="I157" s="109"/>
      <c r="J157" s="109"/>
      <c r="K157" s="38"/>
      <c r="L157" s="39"/>
      <c r="M157" s="39"/>
      <c r="CB157"/>
    </row>
    <row r="158" spans="1:80" ht="15.75" thickBot="1" x14ac:dyDescent="0.3">
      <c r="A158" s="51" t="s">
        <v>105</v>
      </c>
      <c r="B158" s="5">
        <f>SUM(N158:AW158)</f>
        <v>1</v>
      </c>
      <c r="C158" s="157" t="s">
        <v>0</v>
      </c>
      <c r="D158" s="153" t="s">
        <v>104</v>
      </c>
      <c r="E158" s="153"/>
      <c r="F158" s="153"/>
      <c r="G158" s="153"/>
      <c r="H158" s="153"/>
      <c r="I158" s="153"/>
      <c r="J158" s="153"/>
      <c r="K158" s="42"/>
      <c r="L158" s="37"/>
      <c r="M158" s="37"/>
      <c r="N158" s="18">
        <v>1</v>
      </c>
      <c r="CB158"/>
    </row>
    <row r="159" spans="1:80" hidden="1" x14ac:dyDescent="0.25">
      <c r="A159" s="51"/>
      <c r="B159" s="5">
        <f>SUM(N159:AW159)</f>
        <v>0</v>
      </c>
      <c r="C159" s="23" t="s">
        <v>3</v>
      </c>
      <c r="D159" s="111" t="s">
        <v>88</v>
      </c>
      <c r="E159" s="111"/>
      <c r="F159" s="111"/>
      <c r="G159" s="111"/>
      <c r="H159" s="111"/>
      <c r="I159" s="111"/>
      <c r="J159" s="111"/>
      <c r="K159" s="42"/>
      <c r="L159" s="37"/>
      <c r="M159" s="37"/>
      <c r="CB159"/>
    </row>
    <row r="160" spans="1:80" hidden="1" x14ac:dyDescent="0.25">
      <c r="A160" s="51"/>
      <c r="B160" s="5">
        <f>SUM(N160:AW160)</f>
        <v>0</v>
      </c>
      <c r="C160" s="23"/>
      <c r="D160" s="111"/>
      <c r="E160" s="111"/>
      <c r="F160" s="111"/>
      <c r="G160" s="111"/>
      <c r="H160" s="111"/>
      <c r="I160" s="111"/>
      <c r="J160" s="111"/>
      <c r="K160" s="42"/>
      <c r="L160" s="37"/>
      <c r="M160" s="37"/>
      <c r="CB160"/>
    </row>
    <row r="161" spans="1:80" ht="15.75" hidden="1" thickBot="1" x14ac:dyDescent="0.3">
      <c r="A161" s="51"/>
      <c r="B161" s="5">
        <f>SUM(N161:AW161)</f>
        <v>0</v>
      </c>
      <c r="C161" s="23"/>
      <c r="D161" s="111"/>
      <c r="E161" s="111"/>
      <c r="F161" s="111"/>
      <c r="G161" s="111"/>
      <c r="H161" s="111"/>
      <c r="I161" s="111"/>
      <c r="J161" s="111"/>
      <c r="K161" s="42"/>
      <c r="L161" s="37"/>
      <c r="M161" s="37"/>
      <c r="CB161"/>
    </row>
    <row r="162" spans="1:80" ht="15.75" thickBot="1" x14ac:dyDescent="0.3">
      <c r="A162" s="49" t="s">
        <v>13</v>
      </c>
      <c r="B162" s="10">
        <f>SUM(B158:B161)</f>
        <v>1</v>
      </c>
      <c r="C162" s="11"/>
      <c r="D162" s="12"/>
      <c r="E162" s="12"/>
      <c r="F162" s="12"/>
      <c r="G162" s="12"/>
      <c r="H162" s="12"/>
      <c r="I162" s="12"/>
      <c r="J162" s="12"/>
      <c r="K162" s="37"/>
      <c r="L162" s="37"/>
      <c r="M162" s="37"/>
      <c r="CB162"/>
    </row>
    <row r="163" spans="1:80" x14ac:dyDescent="0.25">
      <c r="A163" s="151" t="s">
        <v>28</v>
      </c>
      <c r="B163" s="151"/>
      <c r="C163" s="151"/>
      <c r="D163" s="151"/>
      <c r="E163" s="151"/>
      <c r="F163" s="151"/>
      <c r="G163" s="151"/>
      <c r="H163" s="151"/>
      <c r="I163" s="151"/>
      <c r="J163" s="151"/>
      <c r="K163" s="45"/>
      <c r="L163" s="45"/>
      <c r="M163" s="45"/>
      <c r="CB163"/>
    </row>
    <row r="164" spans="1:80" x14ac:dyDescent="0.2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45"/>
      <c r="L164" s="45"/>
      <c r="M164" s="45"/>
      <c r="CB164"/>
    </row>
    <row r="165" spans="1:80" s="8" customFormat="1" ht="15.95" hidden="1" customHeight="1" thickBot="1" x14ac:dyDescent="0.3">
      <c r="A165" s="107" t="s">
        <v>32</v>
      </c>
      <c r="B165" s="107"/>
      <c r="C165" s="107"/>
      <c r="D165" s="107"/>
      <c r="E165" s="107"/>
      <c r="F165" s="107"/>
      <c r="G165" s="107"/>
      <c r="H165" s="107"/>
      <c r="I165" s="107"/>
      <c r="J165" s="107"/>
      <c r="K165" s="34"/>
      <c r="L165" s="34"/>
      <c r="M165" s="34"/>
      <c r="N165" s="18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</row>
    <row r="166" spans="1:80" hidden="1" x14ac:dyDescent="0.25">
      <c r="A166" s="48" t="s">
        <v>12</v>
      </c>
      <c r="B166" s="62" t="s">
        <v>8</v>
      </c>
      <c r="C166" s="15" t="s">
        <v>9</v>
      </c>
      <c r="D166" s="59" t="s">
        <v>10</v>
      </c>
      <c r="E166" s="109" t="s">
        <v>33</v>
      </c>
      <c r="F166" s="109"/>
      <c r="G166" s="109"/>
      <c r="H166" s="109" t="s">
        <v>34</v>
      </c>
      <c r="I166" s="109"/>
      <c r="J166" s="109"/>
      <c r="K166" s="39"/>
      <c r="L166" s="39"/>
      <c r="M166" s="39"/>
      <c r="CB166"/>
    </row>
    <row r="167" spans="1:80" ht="15.75" hidden="1" thickBot="1" x14ac:dyDescent="0.3">
      <c r="A167" s="51"/>
      <c r="B167" s="5">
        <f>SUM(N167:AW167)</f>
        <v>0</v>
      </c>
      <c r="C167" s="23"/>
      <c r="D167" s="19"/>
      <c r="E167" s="111"/>
      <c r="F167" s="111"/>
      <c r="G167" s="111"/>
      <c r="H167" s="111"/>
      <c r="I167" s="111"/>
      <c r="J167" s="111"/>
      <c r="K167" s="37"/>
      <c r="L167" s="37"/>
      <c r="M167" s="37"/>
      <c r="CB167"/>
    </row>
    <row r="168" spans="1:80" ht="15.75" hidden="1" thickBot="1" x14ac:dyDescent="0.3">
      <c r="A168" s="49" t="s">
        <v>13</v>
      </c>
      <c r="B168" s="10">
        <f>SUM(B167:B167)</f>
        <v>0</v>
      </c>
      <c r="C168" s="11"/>
      <c r="D168" s="12"/>
      <c r="E168" s="12"/>
      <c r="F168" s="12"/>
      <c r="G168" s="12"/>
      <c r="H168" s="12"/>
      <c r="I168" s="12"/>
      <c r="J168" s="12"/>
      <c r="K168" s="37"/>
      <c r="L168" s="37"/>
      <c r="M168" s="37"/>
      <c r="CB168"/>
    </row>
    <row r="169" spans="1:80" hidden="1" x14ac:dyDescent="0.25">
      <c r="A169" s="151" t="s">
        <v>44</v>
      </c>
      <c r="B169" s="151"/>
      <c r="C169" s="151"/>
      <c r="D169" s="151"/>
      <c r="E169" s="151"/>
      <c r="F169" s="151"/>
      <c r="G169" s="151"/>
      <c r="H169" s="151"/>
      <c r="I169" s="151"/>
      <c r="J169" s="151"/>
      <c r="K169" s="45"/>
      <c r="L169" s="45"/>
      <c r="M169" s="45"/>
      <c r="CB169"/>
    </row>
    <row r="170" spans="1:80" hidden="1" x14ac:dyDescent="0.2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45"/>
      <c r="L170" s="45"/>
      <c r="M170" s="45"/>
      <c r="CB170"/>
    </row>
    <row r="171" spans="1:80" hidden="1" x14ac:dyDescent="0.25">
      <c r="CB171"/>
    </row>
    <row r="172" spans="1:80" ht="15.75" thickBot="1" x14ac:dyDescent="0.3">
      <c r="A172" s="107" t="s">
        <v>47</v>
      </c>
      <c r="B172" s="107"/>
      <c r="C172" s="107"/>
      <c r="D172" s="107"/>
      <c r="E172" s="107"/>
      <c r="F172" s="107"/>
      <c r="G172" s="107"/>
      <c r="H172" s="107"/>
      <c r="I172" s="107"/>
      <c r="J172" s="107"/>
      <c r="K172" s="34"/>
      <c r="L172" s="34"/>
      <c r="M172" s="34"/>
      <c r="CB172"/>
    </row>
    <row r="173" spans="1:80" ht="17.25" customHeight="1" x14ac:dyDescent="0.25">
      <c r="A173" s="48" t="s">
        <v>12</v>
      </c>
      <c r="B173" s="62" t="s">
        <v>8</v>
      </c>
      <c r="C173" s="15" t="s">
        <v>9</v>
      </c>
      <c r="D173" s="109" t="s">
        <v>11</v>
      </c>
      <c r="E173" s="109"/>
      <c r="F173" s="109"/>
      <c r="G173" s="109"/>
      <c r="H173" s="109"/>
      <c r="I173" s="109"/>
      <c r="J173" s="109"/>
      <c r="K173" s="38"/>
      <c r="L173" s="39"/>
      <c r="M173" s="39"/>
      <c r="CB173"/>
    </row>
    <row r="174" spans="1:80" x14ac:dyDescent="0.25">
      <c r="A174" s="51"/>
      <c r="B174" s="159">
        <f t="shared" ref="B174:B181" si="19">SUM(N174:AW174)</f>
        <v>1</v>
      </c>
      <c r="C174" s="157" t="s">
        <v>0</v>
      </c>
      <c r="D174" s="111" t="s">
        <v>89</v>
      </c>
      <c r="E174" s="111"/>
      <c r="F174" s="111"/>
      <c r="G174" s="111"/>
      <c r="H174" s="111"/>
      <c r="I174" s="111"/>
      <c r="J174" s="111"/>
      <c r="K174" s="42"/>
      <c r="L174" s="37"/>
      <c r="M174" s="37"/>
      <c r="N174" s="18">
        <v>1</v>
      </c>
      <c r="CB174"/>
    </row>
    <row r="175" spans="1:80" ht="15.75" thickBot="1" x14ac:dyDescent="0.3">
      <c r="A175" s="51"/>
      <c r="B175" s="159">
        <f t="shared" si="19"/>
        <v>1</v>
      </c>
      <c r="C175" s="157" t="s">
        <v>2</v>
      </c>
      <c r="D175" s="111" t="s">
        <v>89</v>
      </c>
      <c r="E175" s="111"/>
      <c r="F175" s="111"/>
      <c r="G175" s="111"/>
      <c r="H175" s="111"/>
      <c r="I175" s="111"/>
      <c r="J175" s="111"/>
      <c r="K175" s="42"/>
      <c r="L175" s="37"/>
      <c r="M175" s="37"/>
      <c r="N175" s="18">
        <v>1</v>
      </c>
      <c r="CB175"/>
    </row>
    <row r="176" spans="1:80" hidden="1" x14ac:dyDescent="0.25">
      <c r="A176" s="56"/>
      <c r="B176" s="5">
        <f t="shared" si="19"/>
        <v>0</v>
      </c>
      <c r="C176" s="23" t="s">
        <v>0</v>
      </c>
      <c r="D176" s="111" t="s">
        <v>90</v>
      </c>
      <c r="E176" s="111"/>
      <c r="F176" s="111"/>
      <c r="G176" s="111"/>
      <c r="H176" s="111"/>
      <c r="I176" s="111"/>
      <c r="J176" s="111"/>
      <c r="K176" s="42"/>
      <c r="L176" s="37"/>
      <c r="M176" s="37"/>
      <c r="CB176"/>
    </row>
    <row r="177" spans="1:80" hidden="1" x14ac:dyDescent="0.25">
      <c r="A177" s="51"/>
      <c r="B177" s="5">
        <f t="shared" si="19"/>
        <v>0</v>
      </c>
      <c r="C177" s="23" t="s">
        <v>3</v>
      </c>
      <c r="D177" s="111" t="s">
        <v>90</v>
      </c>
      <c r="E177" s="111"/>
      <c r="F177" s="111"/>
      <c r="G177" s="111"/>
      <c r="H177" s="111"/>
      <c r="I177" s="111"/>
      <c r="J177" s="111"/>
      <c r="K177" s="42"/>
      <c r="L177" s="37"/>
      <c r="M177" s="37"/>
      <c r="CB177"/>
    </row>
    <row r="178" spans="1:80" hidden="1" x14ac:dyDescent="0.25">
      <c r="A178" s="56"/>
      <c r="B178" s="5">
        <f t="shared" si="19"/>
        <v>0</v>
      </c>
      <c r="C178" s="23"/>
      <c r="D178" s="111"/>
      <c r="E178" s="111"/>
      <c r="F178" s="111"/>
      <c r="G178" s="111"/>
      <c r="H178" s="111"/>
      <c r="I178" s="111"/>
      <c r="J178" s="111"/>
      <c r="K178" s="42"/>
      <c r="L178" s="37"/>
      <c r="M178" s="37"/>
      <c r="CB178"/>
    </row>
    <row r="179" spans="1:80" hidden="1" x14ac:dyDescent="0.25">
      <c r="A179" s="51"/>
      <c r="B179" s="5">
        <f t="shared" si="19"/>
        <v>0</v>
      </c>
      <c r="C179" s="23"/>
      <c r="D179" s="111"/>
      <c r="E179" s="111"/>
      <c r="F179" s="111"/>
      <c r="G179" s="111"/>
      <c r="H179" s="111"/>
      <c r="I179" s="111"/>
      <c r="J179" s="111"/>
      <c r="K179" s="42"/>
      <c r="L179" s="37"/>
      <c r="M179" s="37"/>
      <c r="CB179"/>
    </row>
    <row r="180" spans="1:80" hidden="1" x14ac:dyDescent="0.25">
      <c r="A180" s="51"/>
      <c r="B180" s="5">
        <f t="shared" si="19"/>
        <v>0</v>
      </c>
      <c r="C180" s="23"/>
      <c r="D180" s="111"/>
      <c r="E180" s="111"/>
      <c r="F180" s="111"/>
      <c r="G180" s="111"/>
      <c r="H180" s="111"/>
      <c r="I180" s="111"/>
      <c r="J180" s="111"/>
      <c r="K180" s="42"/>
      <c r="L180" s="37"/>
      <c r="M180" s="37"/>
      <c r="CB180"/>
    </row>
    <row r="181" spans="1:80" ht="15.75" hidden="1" thickBot="1" x14ac:dyDescent="0.3">
      <c r="A181" s="56"/>
      <c r="B181" s="5">
        <f t="shared" si="19"/>
        <v>0</v>
      </c>
      <c r="C181" s="23"/>
      <c r="D181" s="111"/>
      <c r="E181" s="111"/>
      <c r="F181" s="111"/>
      <c r="G181" s="111"/>
      <c r="H181" s="111"/>
      <c r="I181" s="111"/>
      <c r="J181" s="111"/>
      <c r="K181" s="42"/>
      <c r="L181" s="37"/>
      <c r="M181" s="37"/>
      <c r="CB181"/>
    </row>
    <row r="182" spans="1:80" ht="15.75" thickBot="1" x14ac:dyDescent="0.3">
      <c r="A182" s="55" t="s">
        <v>13</v>
      </c>
      <c r="B182" s="10">
        <f>SUM(B174:B181)</f>
        <v>2</v>
      </c>
      <c r="C182" s="11"/>
      <c r="D182" s="12"/>
      <c r="E182" s="12"/>
      <c r="F182" s="12"/>
      <c r="G182" s="12"/>
      <c r="H182" s="12"/>
      <c r="I182" s="12"/>
      <c r="J182" s="12"/>
      <c r="K182" s="37"/>
      <c r="L182" s="37"/>
      <c r="M182" s="37"/>
      <c r="CB182"/>
    </row>
    <row r="183" spans="1:80" x14ac:dyDescent="0.25">
      <c r="A183" s="26" t="s">
        <v>48</v>
      </c>
      <c r="B183" s="16"/>
      <c r="C183" s="11"/>
      <c r="D183" s="12"/>
      <c r="E183" s="12"/>
      <c r="F183" s="12"/>
      <c r="G183" s="12"/>
      <c r="H183" s="12"/>
      <c r="I183" s="12"/>
      <c r="J183" s="12"/>
      <c r="K183" s="37"/>
      <c r="L183" s="37"/>
      <c r="M183" s="37"/>
      <c r="CB183"/>
    </row>
    <row r="184" spans="1:80" ht="14.25" customHeight="1" x14ac:dyDescent="0.25">
      <c r="A184" s="50"/>
      <c r="B184" s="16"/>
      <c r="C184" s="11"/>
      <c r="D184" s="12"/>
      <c r="E184" s="12"/>
      <c r="F184" s="12"/>
      <c r="G184" s="12"/>
      <c r="H184" s="12"/>
      <c r="I184" s="12"/>
      <c r="J184" s="12"/>
      <c r="K184" s="37"/>
      <c r="L184" s="37"/>
      <c r="M184" s="37"/>
      <c r="CB184"/>
    </row>
    <row r="185" spans="1:80" s="8" customFormat="1" ht="15.95" hidden="1" customHeight="1" thickBot="1" x14ac:dyDescent="0.3">
      <c r="A185" s="107" t="s">
        <v>79</v>
      </c>
      <c r="B185" s="107"/>
      <c r="C185" s="107"/>
      <c r="D185" s="107"/>
      <c r="E185" s="107"/>
      <c r="F185" s="107"/>
      <c r="G185" s="107"/>
      <c r="H185" s="107"/>
      <c r="I185" s="107"/>
      <c r="J185" s="107"/>
      <c r="K185" s="34"/>
      <c r="L185" s="34"/>
      <c r="M185" s="34"/>
      <c r="N185" s="18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</row>
    <row r="186" spans="1:80" hidden="1" x14ac:dyDescent="0.25">
      <c r="A186" s="48" t="s">
        <v>12</v>
      </c>
      <c r="B186" s="62" t="s">
        <v>8</v>
      </c>
      <c r="C186" s="136" t="s">
        <v>9</v>
      </c>
      <c r="D186" s="137"/>
      <c r="E186" s="59" t="s">
        <v>10</v>
      </c>
      <c r="F186" s="26"/>
      <c r="G186" s="26"/>
      <c r="H186" s="26"/>
      <c r="I186" s="26"/>
      <c r="J186" s="26"/>
      <c r="K186" s="34"/>
      <c r="L186" s="34"/>
      <c r="M186" s="34"/>
      <c r="CB186"/>
    </row>
    <row r="187" spans="1:80" ht="15.75" hidden="1" thickBot="1" x14ac:dyDescent="0.3">
      <c r="A187" s="54"/>
      <c r="B187" s="5">
        <f>SUM(N187:AW187)</f>
        <v>0</v>
      </c>
      <c r="C187" s="146"/>
      <c r="D187" s="137"/>
      <c r="E187" s="25" t="s">
        <v>80</v>
      </c>
      <c r="F187" s="12"/>
      <c r="G187" s="12"/>
      <c r="H187" s="12"/>
      <c r="I187" s="12"/>
      <c r="J187" s="12"/>
      <c r="K187" s="37"/>
      <c r="L187" s="37"/>
      <c r="M187" s="37"/>
      <c r="CB187"/>
    </row>
    <row r="188" spans="1:80" ht="15.75" hidden="1" thickBot="1" x14ac:dyDescent="0.3">
      <c r="A188" s="55" t="s">
        <v>13</v>
      </c>
      <c r="B188" s="10">
        <f>SUM(B187:B187)</f>
        <v>0</v>
      </c>
      <c r="C188" s="11"/>
      <c r="D188" s="12"/>
      <c r="E188" s="12"/>
      <c r="F188" s="12"/>
      <c r="G188" s="12"/>
      <c r="H188" s="12"/>
      <c r="I188" s="12"/>
      <c r="J188" s="12"/>
      <c r="K188" s="37"/>
      <c r="L188" s="37"/>
      <c r="M188" s="37"/>
      <c r="CB188"/>
    </row>
    <row r="189" spans="1:80" hidden="1" x14ac:dyDescent="0.25">
      <c r="K189" s="45"/>
      <c r="L189" s="45"/>
      <c r="M189" s="45"/>
    </row>
    <row r="190" spans="1:80" hidden="1" x14ac:dyDescent="0.25"/>
    <row r="191" spans="1:80" x14ac:dyDescent="0.25">
      <c r="A191" s="98" t="s">
        <v>100</v>
      </c>
      <c r="B191" s="99"/>
      <c r="C191" s="99"/>
      <c r="D191" s="99"/>
      <c r="E191" s="99"/>
      <c r="F191" s="99"/>
      <c r="G191" s="99"/>
      <c r="H191" s="99"/>
      <c r="I191" s="99"/>
      <c r="J191" s="100"/>
    </row>
    <row r="192" spans="1:80" x14ac:dyDescent="0.25">
      <c r="A192" s="101"/>
      <c r="B192" s="102"/>
      <c r="C192" s="102"/>
      <c r="D192" s="102"/>
      <c r="E192" s="102"/>
      <c r="F192" s="102"/>
      <c r="G192" s="102"/>
      <c r="H192" s="102"/>
      <c r="I192" s="102"/>
      <c r="J192" s="103"/>
    </row>
    <row r="193" spans="1:80" x14ac:dyDescent="0.25">
      <c r="A193" s="104"/>
      <c r="B193" s="105"/>
      <c r="C193" s="105"/>
      <c r="D193" s="105"/>
      <c r="E193" s="105"/>
      <c r="F193" s="105"/>
      <c r="G193" s="105"/>
      <c r="H193" s="105"/>
      <c r="I193" s="105"/>
      <c r="J193" s="106"/>
    </row>
    <row r="194" spans="1:80" s="8" customFormat="1" ht="15.95" customHeight="1" thickBot="1" x14ac:dyDescent="0.3">
      <c r="A194" s="96" t="s">
        <v>98</v>
      </c>
      <c r="B194" s="96"/>
      <c r="C194" s="97"/>
      <c r="D194" s="97"/>
      <c r="E194" s="97"/>
      <c r="F194" s="97"/>
      <c r="G194" s="97"/>
      <c r="H194" s="97"/>
      <c r="I194" s="97"/>
      <c r="J194" s="97"/>
      <c r="K194" s="34"/>
      <c r="L194" s="34"/>
      <c r="M194" s="34"/>
      <c r="N194" s="18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</row>
    <row r="195" spans="1:80" x14ac:dyDescent="0.25">
      <c r="A195" s="48" t="s">
        <v>12</v>
      </c>
      <c r="B195" s="62" t="s">
        <v>8</v>
      </c>
      <c r="C195" s="15" t="s">
        <v>0</v>
      </c>
      <c r="D195" s="24" t="s">
        <v>1</v>
      </c>
      <c r="E195" s="24" t="s">
        <v>2</v>
      </c>
      <c r="F195" s="24" t="s">
        <v>3</v>
      </c>
      <c r="G195" s="24" t="s">
        <v>4</v>
      </c>
      <c r="H195" s="24" t="s">
        <v>5</v>
      </c>
      <c r="I195" s="24" t="s">
        <v>30</v>
      </c>
      <c r="J195" s="24" t="s">
        <v>39</v>
      </c>
      <c r="K195" s="39"/>
      <c r="L195" s="39"/>
      <c r="M195" s="39"/>
    </row>
    <row r="196" spans="1:80" ht="15.75" thickBot="1" x14ac:dyDescent="0.3">
      <c r="A196" s="51" t="s">
        <v>102</v>
      </c>
      <c r="B196" s="5">
        <f>SUM(N196:AX196)</f>
        <v>2</v>
      </c>
      <c r="C196" s="23" t="s">
        <v>101</v>
      </c>
      <c r="D196" s="25"/>
      <c r="E196" s="25" t="s">
        <v>101</v>
      </c>
      <c r="F196" s="25"/>
      <c r="G196" s="25"/>
      <c r="H196" s="25"/>
      <c r="I196" s="25"/>
      <c r="J196" s="25"/>
      <c r="K196" s="37"/>
      <c r="L196" s="37"/>
      <c r="M196" s="37"/>
      <c r="N196" s="18">
        <v>2</v>
      </c>
    </row>
    <row r="197" spans="1:80" ht="15.75" hidden="1" thickBot="1" x14ac:dyDescent="0.3">
      <c r="A197" s="51"/>
      <c r="B197" s="5">
        <f>SUM(N197:AX197)</f>
        <v>0</v>
      </c>
      <c r="C197" s="23"/>
      <c r="D197" s="25"/>
      <c r="E197" s="25"/>
      <c r="F197" s="25"/>
      <c r="G197" s="25"/>
      <c r="H197" s="25"/>
      <c r="I197" s="25"/>
      <c r="J197" s="25"/>
      <c r="K197" s="37"/>
      <c r="L197" s="37"/>
      <c r="M197" s="37"/>
    </row>
    <row r="198" spans="1:80" ht="15.75" hidden="1" thickBot="1" x14ac:dyDescent="0.3">
      <c r="A198" s="51"/>
      <c r="B198" s="5">
        <f>SUM(N198:AX198)</f>
        <v>0</v>
      </c>
      <c r="C198" s="23"/>
      <c r="D198" s="25"/>
      <c r="E198" s="25"/>
      <c r="F198" s="25"/>
      <c r="G198" s="25"/>
      <c r="H198" s="25"/>
      <c r="I198" s="25"/>
      <c r="J198" s="25"/>
      <c r="K198" s="37"/>
      <c r="L198" s="37"/>
      <c r="M198" s="37"/>
    </row>
    <row r="199" spans="1:80" ht="15.75" hidden="1" thickBot="1" x14ac:dyDescent="0.3">
      <c r="A199" s="51"/>
      <c r="B199" s="5">
        <f>SUM(N199:AX199)</f>
        <v>0</v>
      </c>
      <c r="C199" s="23"/>
      <c r="D199" s="25"/>
      <c r="E199" s="25"/>
      <c r="F199" s="25"/>
      <c r="G199" s="25"/>
      <c r="H199" s="25"/>
      <c r="I199" s="25"/>
      <c r="J199" s="25"/>
      <c r="K199" s="37"/>
      <c r="L199" s="37"/>
      <c r="M199" s="37"/>
    </row>
    <row r="200" spans="1:80" ht="15.75" hidden="1" thickBot="1" x14ac:dyDescent="0.3">
      <c r="A200" s="51"/>
      <c r="B200" s="5">
        <f>SUM(N200:AX200)</f>
        <v>0</v>
      </c>
      <c r="C200" s="23"/>
      <c r="D200" s="25"/>
      <c r="E200" s="25"/>
      <c r="F200" s="25"/>
      <c r="G200" s="25"/>
      <c r="H200" s="25"/>
      <c r="I200" s="25"/>
      <c r="J200" s="25"/>
      <c r="K200" s="37"/>
      <c r="L200" s="37"/>
      <c r="M200" s="37"/>
    </row>
    <row r="201" spans="1:80" ht="15.75" thickBot="1" x14ac:dyDescent="0.3">
      <c r="A201" s="49" t="s">
        <v>13</v>
      </c>
      <c r="B201" s="10">
        <f>SUM(B196:B200)</f>
        <v>2</v>
      </c>
      <c r="C201" s="112" t="s">
        <v>109</v>
      </c>
      <c r="D201" s="113"/>
      <c r="E201" s="113"/>
      <c r="F201" s="113"/>
      <c r="G201" s="113"/>
      <c r="H201" s="113"/>
      <c r="I201" s="12"/>
      <c r="J201" s="12"/>
      <c r="K201" s="37"/>
      <c r="L201" s="37"/>
      <c r="M201" s="37"/>
    </row>
    <row r="203" spans="1:80" x14ac:dyDescent="0.25">
      <c r="A203" s="98" t="s">
        <v>86</v>
      </c>
      <c r="B203" s="99"/>
      <c r="C203" s="99"/>
      <c r="D203" s="99"/>
      <c r="E203" s="99"/>
      <c r="F203" s="99"/>
      <c r="G203" s="99"/>
      <c r="H203" s="99"/>
      <c r="I203" s="99"/>
      <c r="J203" s="100"/>
    </row>
    <row r="204" spans="1:80" x14ac:dyDescent="0.25">
      <c r="A204" s="101"/>
      <c r="B204" s="102"/>
      <c r="C204" s="102"/>
      <c r="D204" s="102"/>
      <c r="E204" s="102"/>
      <c r="F204" s="102"/>
      <c r="G204" s="102"/>
      <c r="H204" s="102"/>
      <c r="I204" s="102"/>
      <c r="J204" s="103"/>
    </row>
    <row r="205" spans="1:80" x14ac:dyDescent="0.25">
      <c r="A205" s="104"/>
      <c r="B205" s="105"/>
      <c r="C205" s="105"/>
      <c r="D205" s="105"/>
      <c r="E205" s="105"/>
      <c r="F205" s="105"/>
      <c r="G205" s="105"/>
      <c r="H205" s="105"/>
      <c r="I205" s="105"/>
      <c r="J205" s="106"/>
    </row>
    <row r="206" spans="1:80" s="8" customFormat="1" ht="15.95" customHeight="1" thickBot="1" x14ac:dyDescent="0.3">
      <c r="A206" s="107" t="s">
        <v>31</v>
      </c>
      <c r="B206" s="107"/>
      <c r="C206" s="107"/>
      <c r="D206" s="107"/>
      <c r="E206" s="107"/>
      <c r="F206" s="107"/>
      <c r="G206" s="107"/>
      <c r="H206" s="107"/>
      <c r="I206" s="107"/>
      <c r="J206" s="107"/>
      <c r="K206" s="34"/>
      <c r="L206" s="34"/>
      <c r="M206" s="34"/>
      <c r="N206" s="18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</row>
    <row r="207" spans="1:80" x14ac:dyDescent="0.25">
      <c r="A207" s="48" t="s">
        <v>12</v>
      </c>
      <c r="B207" s="62" t="s">
        <v>8</v>
      </c>
      <c r="C207" s="15" t="s">
        <v>10</v>
      </c>
      <c r="D207" s="14"/>
      <c r="E207" s="7"/>
      <c r="F207" s="26"/>
      <c r="G207" s="26"/>
      <c r="H207" s="26"/>
      <c r="I207" s="26"/>
      <c r="J207" s="26"/>
      <c r="K207" s="34"/>
      <c r="L207" s="34"/>
      <c r="M207" s="34"/>
    </row>
    <row r="208" spans="1:80" hidden="1" x14ac:dyDescent="0.25">
      <c r="A208" s="51"/>
      <c r="B208" s="5">
        <f t="shared" ref="B208:B216" si="20">SUM(N208:AX208)</f>
        <v>0</v>
      </c>
      <c r="C208" s="23" t="s">
        <v>15</v>
      </c>
      <c r="D208" s="12"/>
      <c r="E208" s="7"/>
      <c r="F208" s="12"/>
      <c r="G208" s="12"/>
      <c r="H208" s="12"/>
      <c r="I208" s="12"/>
      <c r="J208" s="12"/>
      <c r="K208" s="37"/>
      <c r="L208" s="37"/>
      <c r="M208" s="37"/>
    </row>
    <row r="209" spans="1:80" ht="15.75" thickBot="1" x14ac:dyDescent="0.3">
      <c r="A209" s="51"/>
      <c r="B209" s="5">
        <f t="shared" si="20"/>
        <v>1</v>
      </c>
      <c r="C209" s="23" t="s">
        <v>23</v>
      </c>
      <c r="D209" s="12"/>
      <c r="E209" s="7"/>
      <c r="F209" s="12"/>
      <c r="G209" s="12"/>
      <c r="H209" s="12"/>
      <c r="I209" s="12"/>
      <c r="J209" s="12"/>
      <c r="K209" s="37"/>
      <c r="L209" s="37"/>
      <c r="M209" s="37"/>
      <c r="N209" s="18">
        <v>1</v>
      </c>
    </row>
    <row r="210" spans="1:80" hidden="1" x14ac:dyDescent="0.25">
      <c r="A210" s="51"/>
      <c r="B210" s="5">
        <f t="shared" si="20"/>
        <v>0</v>
      </c>
      <c r="C210" s="23" t="s">
        <v>22</v>
      </c>
      <c r="D210" s="12"/>
      <c r="E210" s="7"/>
      <c r="F210" s="12"/>
      <c r="G210" s="12"/>
      <c r="H210" s="12"/>
      <c r="I210" s="12"/>
      <c r="J210" s="12"/>
      <c r="K210" s="37"/>
      <c r="L210" s="37"/>
      <c r="M210" s="37"/>
    </row>
    <row r="211" spans="1:80" hidden="1" x14ac:dyDescent="0.25">
      <c r="A211" s="51"/>
      <c r="B211" s="5">
        <f t="shared" si="20"/>
        <v>0</v>
      </c>
      <c r="C211" s="23" t="s">
        <v>21</v>
      </c>
      <c r="D211" s="12"/>
      <c r="E211" s="7"/>
      <c r="F211" s="12"/>
      <c r="G211" s="12"/>
      <c r="H211" s="12"/>
      <c r="I211" s="12"/>
      <c r="J211" s="12"/>
      <c r="K211" s="37"/>
      <c r="L211" s="37"/>
      <c r="M211" s="37"/>
    </row>
    <row r="212" spans="1:80" hidden="1" x14ac:dyDescent="0.25">
      <c r="A212" s="51"/>
      <c r="B212" s="5">
        <f t="shared" si="20"/>
        <v>0</v>
      </c>
      <c r="C212" s="23" t="s">
        <v>20</v>
      </c>
      <c r="D212" s="12"/>
      <c r="E212" s="7"/>
      <c r="F212" s="12"/>
      <c r="G212" s="12"/>
      <c r="H212" s="12"/>
      <c r="I212" s="12"/>
      <c r="J212" s="12" t="s">
        <v>7</v>
      </c>
      <c r="K212" s="37"/>
      <c r="L212" s="37"/>
      <c r="M212" s="37"/>
    </row>
    <row r="213" spans="1:80" hidden="1" x14ac:dyDescent="0.25">
      <c r="A213" s="51"/>
      <c r="B213" s="5">
        <f t="shared" si="20"/>
        <v>0</v>
      </c>
      <c r="C213" s="23" t="s">
        <v>19</v>
      </c>
      <c r="D213" s="12"/>
      <c r="E213" s="7"/>
      <c r="F213" s="12"/>
      <c r="G213" s="12"/>
      <c r="H213" s="12"/>
      <c r="I213" s="12"/>
      <c r="J213" s="12"/>
      <c r="K213" s="37"/>
      <c r="L213" s="37"/>
      <c r="M213" s="37"/>
    </row>
    <row r="214" spans="1:80" hidden="1" x14ac:dyDescent="0.25">
      <c r="A214" s="51"/>
      <c r="B214" s="5">
        <f t="shared" si="20"/>
        <v>0</v>
      </c>
      <c r="C214" s="23" t="s">
        <v>18</v>
      </c>
      <c r="D214" s="12"/>
      <c r="E214" s="7"/>
      <c r="F214" s="12"/>
      <c r="G214" s="12"/>
      <c r="H214" s="12"/>
      <c r="I214" s="12"/>
      <c r="J214" s="12"/>
      <c r="K214" s="37"/>
      <c r="L214" s="37"/>
      <c r="M214" s="37"/>
    </row>
    <row r="215" spans="1:80" hidden="1" x14ac:dyDescent="0.25">
      <c r="A215" s="51"/>
      <c r="B215" s="5">
        <f t="shared" si="20"/>
        <v>0</v>
      </c>
      <c r="C215" s="23" t="s">
        <v>17</v>
      </c>
      <c r="D215" s="12"/>
      <c r="E215" s="7"/>
      <c r="F215" s="12"/>
      <c r="G215" s="12"/>
      <c r="H215" s="12"/>
      <c r="I215" s="12"/>
      <c r="J215" s="12"/>
      <c r="K215" s="37"/>
      <c r="L215" s="37"/>
      <c r="M215" s="37"/>
    </row>
    <row r="216" spans="1:80" ht="15.75" hidden="1" thickBot="1" x14ac:dyDescent="0.3">
      <c r="A216" s="51"/>
      <c r="B216" s="5">
        <f t="shared" si="20"/>
        <v>0</v>
      </c>
      <c r="C216" s="23" t="s">
        <v>16</v>
      </c>
      <c r="D216" s="12"/>
      <c r="E216" s="7"/>
      <c r="F216" s="12"/>
      <c r="G216" s="12"/>
      <c r="H216" s="12"/>
      <c r="I216" s="12"/>
      <c r="J216" s="12"/>
      <c r="K216" s="37"/>
      <c r="L216" s="37"/>
      <c r="M216" s="37"/>
    </row>
    <row r="217" spans="1:80" ht="15.75" thickBot="1" x14ac:dyDescent="0.3">
      <c r="A217" s="49" t="s">
        <v>13</v>
      </c>
      <c r="B217" s="10">
        <f>SUM(B208:B216)</f>
        <v>1</v>
      </c>
      <c r="C217" s="14"/>
      <c r="D217" s="12"/>
      <c r="E217" s="7"/>
      <c r="F217" s="12"/>
      <c r="G217" s="12"/>
      <c r="H217" s="12"/>
      <c r="I217" s="12"/>
      <c r="J217" s="12"/>
      <c r="K217" s="37"/>
      <c r="L217" s="37"/>
      <c r="M217" s="37"/>
    </row>
    <row r="219" spans="1:80" x14ac:dyDescent="0.25">
      <c r="A219" s="98" t="s">
        <v>103</v>
      </c>
      <c r="B219" s="99"/>
      <c r="C219" s="99"/>
      <c r="D219" s="99"/>
      <c r="E219" s="99"/>
      <c r="F219" s="99"/>
      <c r="G219" s="99"/>
      <c r="H219" s="99"/>
      <c r="I219" s="99"/>
      <c r="J219" s="100"/>
    </row>
    <row r="220" spans="1:80" x14ac:dyDescent="0.25">
      <c r="A220" s="101"/>
      <c r="B220" s="102"/>
      <c r="C220" s="102"/>
      <c r="D220" s="102"/>
      <c r="E220" s="102"/>
      <c r="F220" s="102"/>
      <c r="G220" s="102"/>
      <c r="H220" s="102"/>
      <c r="I220" s="102"/>
      <c r="J220" s="103"/>
    </row>
    <row r="221" spans="1:80" x14ac:dyDescent="0.25">
      <c r="A221" s="104"/>
      <c r="B221" s="105"/>
      <c r="C221" s="105"/>
      <c r="D221" s="105"/>
      <c r="E221" s="105"/>
      <c r="F221" s="105"/>
      <c r="G221" s="105"/>
      <c r="H221" s="105"/>
      <c r="I221" s="105"/>
      <c r="J221" s="106"/>
    </row>
    <row r="222" spans="1:80" s="8" customFormat="1" ht="15.95" customHeight="1" thickBot="1" x14ac:dyDescent="0.3">
      <c r="A222" s="96" t="s">
        <v>107</v>
      </c>
      <c r="B222" s="96"/>
      <c r="C222" s="96"/>
      <c r="D222" s="96"/>
      <c r="E222" s="96"/>
      <c r="F222" s="96"/>
      <c r="G222" s="96"/>
      <c r="H222" s="96"/>
      <c r="I222" s="96"/>
      <c r="J222" s="96"/>
      <c r="K222" s="34"/>
      <c r="L222" s="34"/>
      <c r="M222" s="34"/>
      <c r="N222" s="18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</row>
    <row r="223" spans="1:80" x14ac:dyDescent="0.25">
      <c r="A223" s="48" t="s">
        <v>12</v>
      </c>
      <c r="B223" s="62" t="s">
        <v>8</v>
      </c>
      <c r="C223" s="108" t="s">
        <v>11</v>
      </c>
      <c r="D223" s="109"/>
      <c r="E223" s="109"/>
      <c r="F223" s="109"/>
      <c r="G223" s="109"/>
      <c r="H223" s="109"/>
      <c r="I223" s="109"/>
      <c r="J223" s="109"/>
      <c r="K223" s="38"/>
      <c r="L223" s="39"/>
      <c r="M223" s="39"/>
    </row>
    <row r="224" spans="1:80" ht="15.75" thickBot="1" x14ac:dyDescent="0.3">
      <c r="A224" s="51"/>
      <c r="B224" s="5">
        <f>SUM(N224:AX224)</f>
        <v>1</v>
      </c>
      <c r="C224" s="110" t="s">
        <v>106</v>
      </c>
      <c r="D224" s="111"/>
      <c r="E224" s="111"/>
      <c r="F224" s="111"/>
      <c r="G224" s="111"/>
      <c r="H224" s="111"/>
      <c r="I224" s="111"/>
      <c r="J224" s="111"/>
      <c r="K224" s="38"/>
      <c r="L224" s="39"/>
      <c r="M224" s="39"/>
      <c r="N224" s="18">
        <v>1</v>
      </c>
    </row>
    <row r="225" spans="1:13" ht="15.75" hidden="1" thickBot="1" x14ac:dyDescent="0.3">
      <c r="A225" s="51"/>
      <c r="B225" s="5">
        <f>SUM(N225:AX225)</f>
        <v>0</v>
      </c>
      <c r="C225" s="110"/>
      <c r="D225" s="111"/>
      <c r="E225" s="111"/>
      <c r="F225" s="111"/>
      <c r="G225" s="111"/>
      <c r="H225" s="111"/>
      <c r="I225" s="111"/>
      <c r="J225" s="111"/>
      <c r="K225" s="42"/>
      <c r="L225" s="37"/>
      <c r="M225" s="37"/>
    </row>
    <row r="226" spans="1:13" ht="15.75" thickBot="1" x14ac:dyDescent="0.3">
      <c r="A226" s="49" t="s">
        <v>13</v>
      </c>
      <c r="B226" s="10">
        <f>SUM(B224:B225)</f>
        <v>1</v>
      </c>
      <c r="C226" s="11"/>
      <c r="D226" s="12"/>
      <c r="E226" s="12"/>
      <c r="F226" s="12"/>
      <c r="G226" s="12"/>
      <c r="H226" s="12"/>
      <c r="I226" s="12"/>
      <c r="J226" s="12"/>
      <c r="K226" s="37"/>
      <c r="L226" s="37"/>
      <c r="M226" s="37"/>
    </row>
  </sheetData>
  <mergeCells count="123">
    <mergeCell ref="A191:J193"/>
    <mergeCell ref="A169:J170"/>
    <mergeCell ref="A163:J164"/>
    <mergeCell ref="A165:J165"/>
    <mergeCell ref="E166:G166"/>
    <mergeCell ref="H166:J166"/>
    <mergeCell ref="E167:G167"/>
    <mergeCell ref="H167:J167"/>
    <mergeCell ref="A156:J156"/>
    <mergeCell ref="D157:J157"/>
    <mergeCell ref="D158:J158"/>
    <mergeCell ref="D160:J160"/>
    <mergeCell ref="D161:J161"/>
    <mergeCell ref="D159:J159"/>
    <mergeCell ref="A185:J185"/>
    <mergeCell ref="C186:D186"/>
    <mergeCell ref="C187:D187"/>
    <mergeCell ref="D174:J174"/>
    <mergeCell ref="D175:J175"/>
    <mergeCell ref="D178:J178"/>
    <mergeCell ref="D176:J176"/>
    <mergeCell ref="D177:J177"/>
    <mergeCell ref="A172:J172"/>
    <mergeCell ref="D173:J173"/>
    <mergeCell ref="D179:J179"/>
    <mergeCell ref="D180:J180"/>
    <mergeCell ref="D181:J181"/>
    <mergeCell ref="A151:J151"/>
    <mergeCell ref="C152:D152"/>
    <mergeCell ref="E152:F152"/>
    <mergeCell ref="G152:H152"/>
    <mergeCell ref="C153:D153"/>
    <mergeCell ref="E153:F153"/>
    <mergeCell ref="G153:H153"/>
    <mergeCell ref="C147:D147"/>
    <mergeCell ref="C148:D148"/>
    <mergeCell ref="C72:D72"/>
    <mergeCell ref="E72:F72"/>
    <mergeCell ref="G72:H72"/>
    <mergeCell ref="I72:J72"/>
    <mergeCell ref="C73:D73"/>
    <mergeCell ref="A131:J131"/>
    <mergeCell ref="A123:J123"/>
    <mergeCell ref="C87:J87"/>
    <mergeCell ref="A110:J110"/>
    <mergeCell ref="C105:E105"/>
    <mergeCell ref="F102:J102"/>
    <mergeCell ref="F103:J103"/>
    <mergeCell ref="E66:F66"/>
    <mergeCell ref="G66:H66"/>
    <mergeCell ref="I66:J66"/>
    <mergeCell ref="C67:D67"/>
    <mergeCell ref="E67:F67"/>
    <mergeCell ref="G67:H67"/>
    <mergeCell ref="I67:J67"/>
    <mergeCell ref="A145:J145"/>
    <mergeCell ref="C146:D146"/>
    <mergeCell ref="A107:J108"/>
    <mergeCell ref="A91:J91"/>
    <mergeCell ref="A101:J101"/>
    <mergeCell ref="C102:E102"/>
    <mergeCell ref="C103:E103"/>
    <mergeCell ref="C86:J86"/>
    <mergeCell ref="C88:J88"/>
    <mergeCell ref="C68:D68"/>
    <mergeCell ref="E68:F68"/>
    <mergeCell ref="G68:H68"/>
    <mergeCell ref="I68:J68"/>
    <mergeCell ref="A71:J71"/>
    <mergeCell ref="F104:J104"/>
    <mergeCell ref="F105:J105"/>
    <mergeCell ref="C104:E104"/>
    <mergeCell ref="I65:J65"/>
    <mergeCell ref="A59:J59"/>
    <mergeCell ref="C60:D60"/>
    <mergeCell ref="E60:F60"/>
    <mergeCell ref="C61:D61"/>
    <mergeCell ref="C63:D63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C62:D62"/>
    <mergeCell ref="C66:D66"/>
    <mergeCell ref="C64:D64"/>
    <mergeCell ref="B5:J5"/>
    <mergeCell ref="B6:J6"/>
    <mergeCell ref="B9:J9"/>
    <mergeCell ref="A3:J4"/>
    <mergeCell ref="A76:J76"/>
    <mergeCell ref="A85:J85"/>
    <mergeCell ref="A30:J30"/>
    <mergeCell ref="A42:J42"/>
    <mergeCell ref="A47:J47"/>
    <mergeCell ref="B7:J7"/>
    <mergeCell ref="B8:J8"/>
    <mergeCell ref="I10:J10"/>
    <mergeCell ref="I11:J11"/>
    <mergeCell ref="B11:G11"/>
    <mergeCell ref="A13:J13"/>
    <mergeCell ref="A25:J25"/>
    <mergeCell ref="E64:F64"/>
    <mergeCell ref="G64:H64"/>
    <mergeCell ref="I64:J64"/>
    <mergeCell ref="C65:D65"/>
    <mergeCell ref="E65:F65"/>
    <mergeCell ref="G65:H65"/>
    <mergeCell ref="A194:J194"/>
    <mergeCell ref="A203:J205"/>
    <mergeCell ref="A206:J206"/>
    <mergeCell ref="A219:J221"/>
    <mergeCell ref="A222:J222"/>
    <mergeCell ref="C223:J223"/>
    <mergeCell ref="C224:J224"/>
    <mergeCell ref="C225:J225"/>
    <mergeCell ref="C201:H201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headerFooter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Option Button 7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Option Button 8">
              <controlPr defaultSize="0" autoFill="0" autoLine="0" autoPict="0" altText="Partial Plans">
                <anchor moveWithCells="1">
                  <from>
                    <xdr:col>3</xdr:col>
                    <xdr:colOff>0</xdr:colOff>
                    <xdr:row>8</xdr:row>
                    <xdr:rowOff>0</xdr:rowOff>
                  </from>
                  <to>
                    <xdr:col>5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6" name="Group Box 16">
              <controlPr defaultSize="0" autoFill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10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7" name="Group Box 23">
              <controlPr defaultSize="0" autoFill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10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8" name="Option Button 24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9" name="Option Button 25">
              <controlPr defaultSize="0" autoFill="0" autoLine="0" autoPict="0">
                <anchor moveWithCells="1">
                  <from>
                    <xdr:col>3</xdr:col>
                    <xdr:colOff>0</xdr:colOff>
                    <xdr:row>9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0" name="Option Button 26">
              <controlPr defaultSize="0" autoFill="0" autoLine="0" autoPict="0">
                <anchor moveWithCells="1">
                  <from>
                    <xdr:col>5</xdr:col>
                    <xdr:colOff>0</xdr:colOff>
                    <xdr:row>9</xdr:row>
                    <xdr:rowOff>0</xdr:rowOff>
                  </from>
                  <to>
                    <xdr:col>7</xdr:col>
                    <xdr:colOff>190500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1" name="Option Button 28">
              <controlPr defaultSize="0" autoFill="0" autoLine="0" autoPict="0">
                <anchor moveWithCells="1">
                  <from>
                    <xdr:col>5</xdr:col>
                    <xdr:colOff>0</xdr:colOff>
                    <xdr:row>8</xdr:row>
                    <xdr:rowOff>0</xdr:rowOff>
                  </from>
                  <to>
                    <xdr:col>7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2" name="Option Button 34">
              <controlPr defaultSize="0" autoFill="0" autoLine="0" autoPict="0">
                <anchor moveWithCells="1">
                  <from>
                    <xdr:col>7</xdr:col>
                    <xdr:colOff>0</xdr:colOff>
                    <xdr:row>8</xdr:row>
                    <xdr:rowOff>0</xdr:rowOff>
                  </from>
                  <to>
                    <xdr:col>9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3" name="Option Button 36">
              <controlPr defaultSize="0" autoFill="0" autoLine="0" autoPict="0">
                <anchor moveWithCells="1">
                  <from>
                    <xdr:col>7</xdr:col>
                    <xdr:colOff>0</xdr:colOff>
                    <xdr:row>9</xdr:row>
                    <xdr:rowOff>0</xdr:rowOff>
                  </from>
                  <to>
                    <xdr:col>9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4" name="Group Box 37">
              <controlPr defaultSize="0" autoFill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10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5" name="Option Button 38">
              <controlPr defaultSize="0" autoFill="0" autoLine="0" autoPict="0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6" name="Option Button 39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3</xdr:col>
                    <xdr:colOff>161925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7" name="Option Button 40">
              <controlPr defaultSize="0" autoFill="0" autoLine="0" autoPict="0">
                <anchor moveWithCells="1">
                  <from>
                    <xdr:col>5</xdr:col>
                    <xdr:colOff>0</xdr:colOff>
                    <xdr:row>7</xdr:row>
                    <xdr:rowOff>0</xdr:rowOff>
                  </from>
                  <to>
                    <xdr:col>7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8" name="Option Button 41">
              <controlPr defaultSize="0" autoFill="0" autoLine="0" autoPict="0">
                <anchor moveWithCells="1">
                  <from>
                    <xdr:col>7</xdr:col>
                    <xdr:colOff>0</xdr:colOff>
                    <xdr:row>7</xdr:row>
                    <xdr:rowOff>0</xdr:rowOff>
                  </from>
                  <to>
                    <xdr:col>9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9" name="Drop Down 45">
              <controlPr defaultSize="0" autoLine="0" autoPict="0">
                <anchor moveWithCells="1">
                  <from>
                    <xdr:col>0</xdr:col>
                    <xdr:colOff>866775</xdr:colOff>
                    <xdr:row>1</xdr:row>
                    <xdr:rowOff>0</xdr:rowOff>
                  </from>
                  <to>
                    <xdr:col>0</xdr:col>
                    <xdr:colOff>1619250</xdr:colOff>
                    <xdr:row>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0" name="Spinner 46">
              <controlPr defaultSize="0" autoPict="0">
                <anchor moveWithCells="1" sizeWithCells="1">
                  <from>
                    <xdr:col>7</xdr:col>
                    <xdr:colOff>171450</xdr:colOff>
                    <xdr:row>1</xdr:row>
                    <xdr:rowOff>0</xdr:rowOff>
                  </from>
                  <to>
                    <xdr:col>8</xdr:col>
                    <xdr:colOff>0</xdr:colOff>
                    <xdr:row>1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D28" sqref="D28"/>
    </sheetView>
  </sheetViews>
  <sheetFormatPr defaultRowHeight="15" x14ac:dyDescent="0.25"/>
  <cols>
    <col min="1" max="1" width="25.85546875" customWidth="1"/>
    <col min="2" max="2" width="10.7109375" bestFit="1" customWidth="1"/>
    <col min="3" max="3" width="7.85546875" customWidth="1"/>
    <col min="4" max="4" width="31.5703125" customWidth="1"/>
    <col min="5" max="5" width="24.7109375" customWidth="1"/>
  </cols>
  <sheetData>
    <row r="1" spans="1:5" x14ac:dyDescent="0.25">
      <c r="A1" s="67" t="s">
        <v>61</v>
      </c>
    </row>
    <row r="2" spans="1:5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</row>
    <row r="3" spans="1:5" x14ac:dyDescent="0.25">
      <c r="A3" s="57"/>
      <c r="B3" s="66"/>
      <c r="C3" s="28"/>
      <c r="D3" s="57"/>
      <c r="E3" s="57"/>
    </row>
    <row r="4" spans="1:5" x14ac:dyDescent="0.25">
      <c r="A4" s="57"/>
      <c r="B4" s="66"/>
      <c r="C4" s="28"/>
      <c r="D4" s="57"/>
      <c r="E4" s="57"/>
    </row>
    <row r="5" spans="1:5" x14ac:dyDescent="0.25">
      <c r="A5" s="57"/>
      <c r="B5" s="66"/>
      <c r="C5" s="28"/>
      <c r="D5" s="57"/>
      <c r="E5" s="57"/>
    </row>
    <row r="6" spans="1:5" x14ac:dyDescent="0.25">
      <c r="A6" s="57"/>
      <c r="B6" s="66"/>
      <c r="C6" s="28"/>
      <c r="D6" s="57"/>
      <c r="E6" s="57"/>
    </row>
    <row r="7" spans="1:5" x14ac:dyDescent="0.25">
      <c r="A7" s="57"/>
      <c r="B7" s="66"/>
      <c r="C7" s="28"/>
      <c r="D7" s="57"/>
      <c r="E7" s="57"/>
    </row>
    <row r="8" spans="1:5" x14ac:dyDescent="0.25">
      <c r="A8" s="57"/>
      <c r="B8" s="66"/>
      <c r="C8" s="28"/>
      <c r="D8" s="57"/>
      <c r="E8" s="57"/>
    </row>
    <row r="9" spans="1:5" x14ac:dyDescent="0.25">
      <c r="A9" s="57"/>
      <c r="B9" s="66"/>
      <c r="C9" s="28"/>
      <c r="D9" s="57"/>
      <c r="E9" s="57"/>
    </row>
    <row r="10" spans="1:5" x14ac:dyDescent="0.25">
      <c r="A10" s="57"/>
      <c r="B10" s="66"/>
      <c r="C10" s="28"/>
      <c r="D10" s="57"/>
      <c r="E10" s="57"/>
    </row>
    <row r="11" spans="1:5" x14ac:dyDescent="0.25">
      <c r="A11" s="57"/>
      <c r="B11" s="66"/>
      <c r="C11" s="28"/>
      <c r="D11" s="57"/>
      <c r="E11" s="57"/>
    </row>
    <row r="12" spans="1:5" x14ac:dyDescent="0.25">
      <c r="A12" s="57"/>
      <c r="B12" s="66"/>
      <c r="C12" s="28"/>
      <c r="D12" s="57"/>
      <c r="E12" s="57"/>
    </row>
    <row r="13" spans="1:5" x14ac:dyDescent="0.25">
      <c r="A13" s="57"/>
      <c r="B13" s="66"/>
      <c r="C13" s="28"/>
      <c r="D13" s="57"/>
      <c r="E13" s="57"/>
    </row>
    <row r="14" spans="1:5" x14ac:dyDescent="0.25">
      <c r="A14" s="57"/>
      <c r="B14" s="66"/>
      <c r="C14" s="28"/>
      <c r="D14" s="57"/>
      <c r="E14" s="57"/>
    </row>
    <row r="15" spans="1:5" x14ac:dyDescent="0.25">
      <c r="A15" s="57"/>
      <c r="B15" s="66"/>
      <c r="C15" s="28"/>
      <c r="D15" s="57"/>
      <c r="E15" s="57"/>
    </row>
    <row r="16" spans="1:5" x14ac:dyDescent="0.25">
      <c r="A16" s="57"/>
      <c r="B16" s="66"/>
      <c r="C16" s="28"/>
      <c r="D16" s="57"/>
      <c r="E16" s="57"/>
    </row>
    <row r="17" spans="1:5" x14ac:dyDescent="0.25">
      <c r="A17" s="57"/>
      <c r="B17" s="66"/>
      <c r="C17" s="28"/>
      <c r="D17" s="57"/>
      <c r="E17" s="57"/>
    </row>
    <row r="18" spans="1:5" x14ac:dyDescent="0.25">
      <c r="A18" s="57"/>
      <c r="B18" s="66"/>
      <c r="C18" s="28"/>
      <c r="D18" s="57"/>
      <c r="E18" s="57"/>
    </row>
    <row r="19" spans="1:5" x14ac:dyDescent="0.25">
      <c r="A19" s="57"/>
      <c r="B19" s="66"/>
      <c r="C19" s="28"/>
      <c r="D19" s="57"/>
      <c r="E19" s="57"/>
    </row>
    <row r="20" spans="1:5" x14ac:dyDescent="0.25">
      <c r="A20" s="57"/>
      <c r="B20" s="66"/>
      <c r="C20" s="28"/>
      <c r="D20" s="57"/>
      <c r="E20" s="57"/>
    </row>
    <row r="21" spans="1:5" x14ac:dyDescent="0.25">
      <c r="A21" s="57"/>
      <c r="B21" s="66"/>
      <c r="C21" s="28"/>
      <c r="D21" s="57"/>
      <c r="E21" s="5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C1" sqref="C1"/>
    </sheetView>
  </sheetViews>
  <sheetFormatPr defaultRowHeight="15" x14ac:dyDescent="0.25"/>
  <cols>
    <col min="1" max="1" width="14" style="57" customWidth="1"/>
    <col min="2" max="2" width="12.28515625" style="66" customWidth="1"/>
  </cols>
  <sheetData>
    <row r="1" spans="1:2" x14ac:dyDescent="0.25">
      <c r="A1" s="57" t="s">
        <v>63</v>
      </c>
      <c r="B1" s="57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C8" sqref="C8"/>
    </sheetView>
  </sheetViews>
  <sheetFormatPr defaultRowHeight="15" x14ac:dyDescent="0.25"/>
  <sheetData>
    <row r="1" spans="1:1" x14ac:dyDescent="0.25">
      <c r="A1" t="s">
        <v>52</v>
      </c>
    </row>
    <row r="2" spans="1:1" x14ac:dyDescent="0.25">
      <c r="A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Takeoff</vt:lpstr>
      <vt:lpstr>Change Log</vt:lpstr>
      <vt:lpstr>Drawing Index</vt:lpstr>
      <vt:lpstr>Sheet3</vt:lpstr>
      <vt:lpstr>Takeoff!Print_Area</vt:lpstr>
      <vt:lpstr>Takeoff!Print_Titles</vt:lpstr>
    </vt:vector>
  </TitlesOfParts>
  <Company>Amico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Takeoff Template</dc:title>
  <dc:creator>Kevin Joh</dc:creator>
  <dc:description>v1.4 - Gauge section added._x000d_
v1.5 - NIT PS note added.</dc:description>
  <cp:lastModifiedBy>Ajay Balkaran</cp:lastModifiedBy>
  <cp:lastPrinted>2015-07-30T14:50:11Z</cp:lastPrinted>
  <dcterms:created xsi:type="dcterms:W3CDTF">2012-05-15T17:18:37Z</dcterms:created>
  <dcterms:modified xsi:type="dcterms:W3CDTF">2023-09-22T20:19:57Z</dcterms:modified>
  <cp:version>1.6</cp:version>
</cp:coreProperties>
</file>